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mmaire" sheetId="1" state="visible" r:id="rId3"/>
    <sheet name="Détail" sheetId="2" state="visible" r:id="rId4"/>
    <sheet name="Par article" sheetId="3" state="visible" r:id="rId5"/>
  </sheets>
  <definedNames>
    <definedName function="false" hidden="false" localSheetId="1" name="_xlnm.Print_Titles" vbProcedure="false">Détail!$1:$4</definedName>
    <definedName function="false" hidden="false" localSheetId="2" name="_xlnm.Print_Titles" vbProcedure="false">'Par article'!$1:$3</definedName>
    <definedName function="false" hidden="false" localSheetId="0" name="_xlnm.Print_Titles" vbProcedure="false">Sommaire!$1:$3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<sst xmlns="http://schemas.openxmlformats.org/spreadsheetml/2006/main" count="489" uniqueCount="333">
  <si>
    <t xml:space="preserve">S-1902 — SOMMAIRE DU CHIFFRAGE</t>
  </si>
  <si>
    <t xml:space="preserve">Bibliothèque Georgette-Lepage (Brossard) — RFID, RDC et étage — AO SP-GTER-26-0080 — R.D.J. E-26-75-GE</t>
  </si>
  <si>
    <t xml:space="preserve">Méthode de M. Dupuis (Expert Estimateur / ACCEO) : matériel au prix vendant de son catalogue, administration et profit 0 % dans le sommaire, main-d’œuvre = heures relevées arrondies vers le haut × taux horaire, puis facteur de passage au prix de vente observé sur S-1844.</t>
  </si>
  <si>
    <t xml:space="preserve">Poste</t>
  </si>
  <si>
    <t xml:space="preserve">Valeur</t>
  </si>
  <si>
    <t xml:space="preserve">Source / preuve</t>
  </si>
  <si>
    <t xml:space="preserve">Taux horaire ($/h)</t>
  </si>
  <si>
    <t xml:space="preserve">Dupuis, août–oct. 2026 : S-1797, S-1835, S-1854, S-1881</t>
  </si>
  <si>
    <t xml:space="preserve">Matériel + lots fournisseur (prix vendant Dupuis + allocations)</t>
  </si>
  <si>
    <t xml:space="preserve">Feuille Détail</t>
  </si>
  <si>
    <t xml:space="preserve">Heures relevées</t>
  </si>
  <si>
    <t xml:space="preserve">Feuille Détail (temps unitaires Dupuis)</t>
  </si>
  <si>
    <t xml:space="preserve">Heures chargées (arrondi vers le haut, multiple de 10)</t>
  </si>
  <si>
    <t xml:space="preserve">Pratique Dupuis (S-1881 : 4 128,6 → 4 150 h)</t>
  </si>
  <si>
    <t xml:space="preserve">Main-d’œuvre = heures chargées × taux</t>
  </si>
  <si>
    <t xml:space="preserve">TOTAL SOMMAIRE ACCEO (admin/profit 0 %, comme Dupuis)</t>
  </si>
  <si>
    <t xml:space="preserve">Équivalent de son « Grand total »</t>
  </si>
  <si>
    <t xml:space="preserve">Part main-d’œuvre du sommaire</t>
  </si>
  <si>
    <t xml:space="preserve">Dupuis : 30–69 %, médiane ≈ 45 % (S-1783 : 50,5 %)</t>
  </si>
  <si>
    <t xml:space="preserve">Facteur de passage au prix de vente</t>
  </si>
  <si>
    <t xml:space="preserve">S-1844 : prix remis 238 744 $ ÷ sommaire ACCEO 191 909,19 $</t>
  </si>
  <si>
    <t xml:space="preserve">Prix de vente calculé</t>
  </si>
  <si>
    <t xml:space="preserve">PRIX SOUMIS (arrondi au millier)</t>
  </si>
  <si>
    <t xml:space="preserve">Soumission_S-1902_Georgette-Lepage.pdf</t>
  </si>
  <si>
    <t xml:space="preserve">Heures par 100 k$ de prix</t>
  </si>
  <si>
    <t xml:space="preserve">Dupuis : ≈ 450–520 h / 100 k$ (S-1783, S-1775, S-1857, S-1881)</t>
  </si>
  <si>
    <t xml:space="preserve">COMPARAISONS</t>
  </si>
  <si>
    <t xml:space="preserve">Version</t>
  </si>
  <si>
    <t xml:space="preserve">Prix avant taxes</t>
  </si>
  <si>
    <t xml:space="preserve">Base</t>
  </si>
  <si>
    <t xml:space="preserve">Estimation_2 — Léna AI, 2026-10-08</t>
  </si>
  <si>
    <t xml:space="preserve">719,5 h × 124 $ + Lumen 23 160 $ ; sans FG, profit ni sous-traitance</t>
  </si>
  <si>
    <t xml:space="preserve">v2 — 2026-10-20 (midi)</t>
  </si>
  <si>
    <t xml:space="preserve">745 h × 113,50 $ pondéré + matériel + allocations</t>
  </si>
  <si>
    <t xml:space="preserve">v3 — méthode Dupuis (ce classeur)</t>
  </si>
  <si>
    <t xml:space="preserve">Ses temps, ses prix d’assemblage, 85 $/h, × 1,244</t>
  </si>
  <si>
    <t xml:space="preserve">LOTS FOURNISSEUR INCLUS (prix confirmés par Frank, 2026-10-20)</t>
  </si>
  <si>
    <t xml:space="preserve">Montant ($)</t>
  </si>
  <si>
    <t xml:space="preserve">Note</t>
  </si>
  <si>
    <t xml:space="preserve">Luminaires A1 ×11, Axis SL1 (4′×12, 3′×15, 1′×6) + trousses, E ×3, Z6 ×3</t>
  </si>
  <si>
    <t xml:space="preserve">Prix retenus (Gerrie prix réguliers / agents) — confirmés</t>
  </si>
  <si>
    <t xml:space="preserve">Panneau NF 225 A 42 cct + disjoncteurs EDB/EJB</t>
  </si>
  <si>
    <t xml:space="preserve">Schneider NF 225 A 42 cct + EDB/EJB — confirmé</t>
  </si>
  <si>
    <t xml:space="preserve">Services JCI/Simplex + 2 détecteurs adressables</t>
  </si>
  <si>
    <t xml:space="preserve">Services JCI + 2 détecteurs 4098-9714 — confirmé</t>
  </si>
  <si>
    <t xml:space="preserve">Scan GPR de la dalle</t>
  </si>
  <si>
    <t xml:space="preserve">Dupuis « SCAN DALLE BETON » 1 250 $</t>
  </si>
  <si>
    <t xml:space="preserve">S-1902 — DÉTAIL DU CHIFFRAGE (méthode Dupuis / ACCEO)</t>
  </si>
  <si>
    <t xml:space="preserve">Chaque ligne = quantité × prix vendant d’assemblage de M. Dupuis (dernier prix de ses relevés 2026) et quantité × son temps unitaire.  Bleu = intrant · Jaune = heures de jugement · Noir = formule.</t>
  </si>
  <si>
    <t xml:space="preserve">Code</t>
  </si>
  <si>
    <t xml:space="preserve">Description</t>
  </si>
  <si>
    <t xml:space="preserve">Qté</t>
  </si>
  <si>
    <t xml:space="preserve">Unité</t>
  </si>
  <si>
    <t xml:space="preserve">Prix unit.
vendant ($)</t>
  </si>
  <si>
    <t xml:space="preserve">Temps unit.
(h)</t>
  </si>
  <si>
    <t xml:space="preserve">Article
bordereau</t>
  </si>
  <si>
    <t xml:space="preserve">Matériel ($)</t>
  </si>
  <si>
    <t xml:space="preserve">Heures</t>
  </si>
  <si>
    <t xml:space="preserve">Source (catalogue Dupuis / allocation)</t>
  </si>
  <si>
    <t xml:space="preserve">5.19 / 3.22 — DÉMANTÈLEMENT, RELOCALISATION, TRAVAUX TEMPORAIRES</t>
  </si>
  <si>
    <t xml:space="preserve">A-01</t>
  </si>
  <si>
    <t xml:space="preserve">Démantèlement luminaires existants RDC (E.A.E)</t>
  </si>
  <si>
    <t xml:space="preserve">u</t>
  </si>
  <si>
    <t xml:space="preserve">5.19</t>
  </si>
  <si>
    <t xml:space="preserve">Dupuis « FIXTURE ENLEVE » 0,5 h (S-1844 ×204)</t>
  </si>
  <si>
    <t xml:space="preserve">A-02</t>
  </si>
  <si>
    <t xml:space="preserve">Démantèlement luminaires existants étage (E.A.E)</t>
  </si>
  <si>
    <t xml:space="preserve">idem</t>
  </si>
  <si>
    <t xml:space="preserve">A-03</t>
  </si>
  <si>
    <t xml:space="preserve">Démantèlement services RDC (prises, boîtes, câbles) E.A.E</t>
  </si>
  <si>
    <t xml:space="preserve">Dupuis « ENLEVER PRISE » 0,35 h</t>
  </si>
  <si>
    <t xml:space="preserve">A-04</t>
  </si>
  <si>
    <t xml:space="preserve">Démantèlement services étage (E.A.E)</t>
  </si>
  <si>
    <t xml:space="preserve">A-05</t>
  </si>
  <si>
    <t xml:space="preserve">Relocalisation équipements services (E.A.R) RDC + étage</t>
  </si>
  <si>
    <t xml:space="preserve">3.22</t>
  </si>
  <si>
    <t xml:space="preserve">Dupuis « RELO PRISE » 1 h</t>
  </si>
  <si>
    <t xml:space="preserve">A-06</t>
  </si>
  <si>
    <t xml:space="preserve">Relocalisation luminaires (E.A.R) RDC + étage</t>
  </si>
  <si>
    <t xml:space="preserve">Dupuis « RELO ENCASTRE » 1 h</t>
  </si>
  <si>
    <t xml:space="preserve">A-07</t>
  </si>
  <si>
    <t xml:space="preserve">Relocalisation interrupteurs maîtres du hall (note 1 E-201)</t>
  </si>
  <si>
    <t xml:space="preserve">lot</t>
  </si>
  <si>
    <t xml:space="preserve">jugement (Estimation_2)</t>
  </si>
  <si>
    <t xml:space="preserve">A-08</t>
  </si>
  <si>
    <t xml:space="preserve">FabLab 210 : retrait temporaire + réinstallation luminaires linéaires</t>
  </si>
  <si>
    <t xml:space="preserve">Dupuis FIXTURE ENLEVE 0,5 + réinstall. 0,35 (ENLEVER FIXTURE 1X4)</t>
  </si>
  <si>
    <t xml:space="preserve">A-09</t>
  </si>
  <si>
    <t xml:space="preserve">FabLab 210 : retrait temporaire + réinstallation encastrés</t>
  </si>
  <si>
    <t xml:space="preserve">Dupuis 0,25 (FIXTURE ENCASTRE ENLEV) + 0,5 (réinstall.)</t>
  </si>
  <si>
    <t xml:space="preserve">A-10</t>
  </si>
  <si>
    <t xml:space="preserve">Toit : débrancher/entreposer sectionneurs, isoler câbles, rebrancher ventilation (E.A.R)</t>
  </si>
  <si>
    <t xml:space="preserve">A-11</t>
  </si>
  <si>
    <t xml:space="preserve">Continuité de service, traçage circuits, réalimentation circuits libérés</t>
  </si>
  <si>
    <t xml:space="preserve">Sous-total section A</t>
  </si>
  <si>
    <t xml:space="preserve">3.24 à 3.26 — DISTRIBUTION, PANNEAU PP-3, DISJONCTEURS, MCC</t>
  </si>
  <si>
    <t xml:space="preserve">B-01</t>
  </si>
  <si>
    <t xml:space="preserve">Panneau PP-3 NF 225 A 347/600 V 42 cct 14 kA (remplacement) — pose</t>
  </si>
  <si>
    <t xml:space="preserve">3.24</t>
  </si>
  <si>
    <t xml:space="preserve">Dupuis « PANN 200A 347/600V » 8 h ; fourniture au lot</t>
  </si>
  <si>
    <t xml:space="preserve">B-01b</t>
  </si>
  <si>
    <t xml:space="preserve">Transfert des circuits existants dans PP-3 (14 cct)</t>
  </si>
  <si>
    <t xml:space="preserve">cct</t>
  </si>
  <si>
    <t xml:space="preserve">jugement : 0,75 h/cct</t>
  </si>
  <si>
    <t xml:space="preserve">B-02</t>
  </si>
  <si>
    <t xml:space="preserve">Disjoncteurs NF 1P-15 A (pose)</t>
  </si>
  <si>
    <t xml:space="preserve">3.25</t>
  </si>
  <si>
    <t xml:space="preserve">Dupuis « DISJ15A1P » 0,2 h ; fourniture au lot</t>
  </si>
  <si>
    <t xml:space="preserve">B-03</t>
  </si>
  <si>
    <t xml:space="preserve">Disjoncteurs NF 3P 15/20/40 A (pose)</t>
  </si>
  <si>
    <t xml:space="preserve">Dupuis « DISJ 100A 3P » 1 h</t>
  </si>
  <si>
    <t xml:space="preserve">B-04</t>
  </si>
  <si>
    <t xml:space="preserve">Disjoncteurs 1P-15 A DDFT et 1P-20 A (pose)</t>
  </si>
  <si>
    <t xml:space="preserve">Dupuis « DISJ 15A2P » 0,4 h</t>
  </si>
  <si>
    <t xml:space="preserve">B-09</t>
  </si>
  <si>
    <t xml:space="preserve">Mise à jour fiches + identification 9 panneaux</t>
  </si>
  <si>
    <t xml:space="preserve">Dupuis lamicoïd ≈ 15 $ ; 1 h (Estimation_2)</t>
  </si>
  <si>
    <t xml:space="preserve">B-10</t>
  </si>
  <si>
    <t xml:space="preserve">Tiroirs CCM-1 F15A — vérification/réutilisation (MCC)</t>
  </si>
  <si>
    <t xml:space="preserve">3.26</t>
  </si>
  <si>
    <t xml:space="preserve">jugement</t>
  </si>
  <si>
    <t xml:space="preserve">B-LOT</t>
  </si>
  <si>
    <t xml:space="preserve">PRIX DE LOT DISTRIBUTION : panneau NF 225 A 42 cct + 17 disj. 1P-15, 3 disj. 3P, 3 disj. 1P (DDFT/20 A)</t>
  </si>
  <si>
    <t xml:space="preserve">Schneider NF 225A 42cct 3 400 $ + EDB 1P 95 $ ×20 + EJB 3P 300 $ ×3 — confirmé par Frank 2026-10-20</t>
  </si>
  <si>
    <t xml:space="preserve">Sous-total section B</t>
  </si>
  <si>
    <t xml:space="preserve">3.23 — RACCORDEMENTS DES ÉQUIPEMENTS MÉCANIQUES</t>
  </si>
  <si>
    <t xml:space="preserve">C-01</t>
  </si>
  <si>
    <t xml:space="preserve">UTA-01 575 V/3Ø au toit — raccordement final LFMC + sectionneur d’usine</t>
  </si>
  <si>
    <t xml:space="preserve">3.23</t>
  </si>
  <si>
    <t xml:space="preserve">Dupuis « MOTEUR UAF-1 » 1 h / 25 $</t>
  </si>
  <si>
    <t xml:space="preserve">C-01b</t>
  </si>
  <si>
    <t xml:space="preserve">Conduit EMT 1" 4 #8 (alim. UTA-01) incl. supports</t>
  </si>
  <si>
    <t xml:space="preserve">pi</t>
  </si>
  <si>
    <t xml:space="preserve">Dupuis « CONDUIT 1 13C12 » 6,82 $/pi, 0,135 h/pi (ens. 1" #8 absent → proche)</t>
  </si>
  <si>
    <t xml:space="preserve">C-02</t>
  </si>
  <si>
    <t xml:space="preserve">VE-02N 1,5 HP 575 V c/a VFD — raccordement</t>
  </si>
  <si>
    <t xml:space="preserve">Dupuis « MOTEUR » 0,5 h / 25 $</t>
  </si>
  <si>
    <t xml:space="preserve">C-03</t>
  </si>
  <si>
    <t xml:space="preserve">Chaudières CH-01/CH-02 — raccord final LFMC, tiroirs CCM</t>
  </si>
  <si>
    <t xml:space="preserve">Dupuis « CHAUDIERE » 0,5 h / 15 $</t>
  </si>
  <si>
    <t xml:space="preserve">C-04</t>
  </si>
  <si>
    <t xml:space="preserve">Humidificateurs HUM-1/2/3 — raccordement</t>
  </si>
  <si>
    <t xml:space="preserve">Dupuis « HUMIDIFICATEUR » 0,35 h / 15 $</t>
  </si>
  <si>
    <t xml:space="preserve">C-04b</t>
  </si>
  <si>
    <t xml:space="preserve">Sectionneurs 30 A sans fusible (HUM)</t>
  </si>
  <si>
    <t xml:space="preserve">Dupuis « INTERR 30A 3P 600V » 1 h / 133,49 $</t>
  </si>
  <si>
    <t xml:space="preserve">C-07</t>
  </si>
  <si>
    <t xml:space="preserve">Conduit EMT 3/4" 03c12 (VE-02N + HUM)</t>
  </si>
  <si>
    <t xml:space="preserve">Dupuis « CONDUIT 3/4 03C12 » 2,30 $/pi, 0,071 h/pi</t>
  </si>
  <si>
    <t xml:space="preserve">C-08</t>
  </si>
  <si>
    <t xml:space="preserve">Raccords flexibles LFMC + connecteurs (7 équipements)</t>
  </si>
  <si>
    <t xml:space="preserve">Lumen Hydrotite 12,40 $/m + Conseal 15,14 $ ×2 ; 0,25 h</t>
  </si>
  <si>
    <t xml:space="preserve">Sous-total section C</t>
  </si>
  <si>
    <t xml:space="preserve">3.27 à 3.34 — SERVICES REZ-DE-CHAUSSÉE ET ÉTAGE</t>
  </si>
  <si>
    <t xml:space="preserve">D-01</t>
  </si>
  <si>
    <t xml:space="preserve">Poste de travail intégré mobilier : JB + prise 15 A + prise 20 A + boîte data</t>
  </si>
  <si>
    <t xml:space="preserve">poste</t>
  </si>
  <si>
    <t xml:space="preserve">3.28</t>
  </si>
  <si>
    <t xml:space="preserve">Dupuis prise 15A 64,81/1,175 + prise 15/20A 60,19/1,225 + tel/data 13,96/0,63 + boîte 12x12 17,43/0,5</t>
  </si>
  <si>
    <t xml:space="preserve">D-02</t>
  </si>
  <si>
    <t xml:space="preserve">Tables c/a boîte d’électrification (5) : 2 prises doubles + 4 prises USB chacune (20 USB au relevé E-104)</t>
  </si>
  <si>
    <t xml:space="preserve">3.27</t>
  </si>
  <si>
    <t xml:space="preserve">Dupuis prise 15A 64,81/1,175 ; USB 77,45/1,125 ; relevé IA : PRISE USB INSTALLER 20</t>
  </si>
  <si>
    <t xml:space="preserve">D-03</t>
  </si>
  <si>
    <t xml:space="preserve">Cabine/isoloir : prise double par JB</t>
  </si>
  <si>
    <t xml:space="preserve">Dupuis prise 15A</t>
  </si>
  <si>
    <t xml:space="preserve">D-04</t>
  </si>
  <si>
    <t xml:space="preserve">Écran mur/colonne : prise + data</t>
  </si>
  <si>
    <t xml:space="preserve">Dupuis</t>
  </si>
  <si>
    <t xml:space="preserve">D-05</t>
  </si>
  <si>
    <t xml:space="preserve">Kiosque TV : prise + data</t>
  </si>
  <si>
    <t xml:space="preserve">D-06</t>
  </si>
  <si>
    <t xml:space="preserve">Prises doubles murales/colonne neuves</t>
  </si>
  <si>
    <t xml:space="preserve">D-17</t>
  </si>
  <si>
    <t xml:space="preserve">Prises MALT isolées (IG orange) — 22 dispositifs</t>
  </si>
  <si>
    <t xml:space="preserve">3.29</t>
  </si>
  <si>
    <t xml:space="preserve">Dupuis prise 15A + supplément dispositif IG (≈12 $, Lumen LEV5262IG non lu)</t>
  </si>
  <si>
    <t xml:space="preserve">D-07</t>
  </si>
  <si>
    <t xml:space="preserve">Prise DDFT 15 A fontaine</t>
  </si>
  <si>
    <t xml:space="preserve">3.30</t>
  </si>
  <si>
    <t xml:space="preserve">Dupuis « PRISE DUPLEX 20A GFI » 65,38 $ / 1,3 h</t>
  </si>
  <si>
    <t xml:space="preserve">D-08</t>
  </si>
  <si>
    <t xml:space="preserve">Sorties data murales/colonne : boîte + conduit 3/4" + corde (65 sorties au relevé − 24 déjà dans les postes/écrans/kiosque)</t>
  </si>
  <si>
    <t xml:space="preserve">3.33</t>
  </si>
  <si>
    <t xml:space="preserve">Dupuis « TEL/DATA 3/4 » 22,32 $ / 0,89 h ; relevé IA : SORTIE DATA INSTALLER 65 (E104 45 + E105 20)</t>
  </si>
  <si>
    <t xml:space="preserve">D-09</t>
  </si>
  <si>
    <t xml:space="preserve">Barrière antivol : 2 JB + raccord panneau PU-1</t>
  </si>
  <si>
    <t xml:space="preserve">3.31</t>
  </si>
  <si>
    <t xml:space="preserve">jugement (2 boîtes 12x12 + conduit) — Estimation_2 6 h</t>
  </si>
  <si>
    <t xml:space="preserve">D-10</t>
  </si>
  <si>
    <t xml:space="preserve">Bornes de prêt / fontaine hall — JB</t>
  </si>
  <si>
    <t xml:space="preserve">Dupuis boîte 12x12 1 h</t>
  </si>
  <si>
    <t xml:space="preserve">D-11</t>
  </si>
  <si>
    <t xml:space="preserve">Boutons d’appel (3) et de panique (1) — boîte + conduit vide</t>
  </si>
  <si>
    <t xml:space="preserve">Dupuis « GACHE »/« LECTEUR » 15 $ / 0,5 h (même nature)</t>
  </si>
  <si>
    <t xml:space="preserve">D-20</t>
  </si>
  <si>
    <t xml:space="preserve">Portes à contrôle d’accès : lecteur + gâche (boîtes + conduits)</t>
  </si>
  <si>
    <t xml:space="preserve">Dupuis « LECTEUR DE CARTE » 15/0,5 + « GACHE » 15/0,5</t>
  </si>
  <si>
    <t xml:space="preserve">D-21</t>
  </si>
  <si>
    <t xml:space="preserve">Thermostats — boîte + conduit</t>
  </si>
  <si>
    <t xml:space="preserve">Dupuis « THERMOSTAT » 35 $ / 0,4 h</t>
  </si>
  <si>
    <t xml:space="preserve">D-22</t>
  </si>
  <si>
    <t xml:space="preserve">Sorties TV</t>
  </si>
  <si>
    <t xml:space="preserve">Dupuis « SORTIE TV » 15 $ / 0,5 h</t>
  </si>
  <si>
    <t xml:space="preserve">D-12</t>
  </si>
  <si>
    <t xml:space="preserve">Percements de dalle carottés + coupe-feu (RDC + étage)</t>
  </si>
  <si>
    <t xml:space="preserve">Dupuis « PERCEMENT PLANCHER » 150 $ (S-1881) / 1 h</t>
  </si>
  <si>
    <t xml:space="preserve">D-12b</t>
  </si>
  <si>
    <t xml:space="preserve">Coupe-feu 3M CP25WB+ (tubes)</t>
  </si>
  <si>
    <t xml:space="preserve">Lumen 26,22 $ ; 0,25 h</t>
  </si>
  <si>
    <t xml:space="preserve">D-13</t>
  </si>
  <si>
    <t xml:space="preserve">Conduit EMT 1" sous dalle (16 courses RDC + 7 étage), 5 cond. #12</t>
  </si>
  <si>
    <t xml:space="preserve">Dupuis « CONDUIT 3/4 07C12 » 3,49 $/pi, 0,091 h/pi (1" 05c12 absent → équivalent)</t>
  </si>
  <si>
    <t xml:space="preserve">D-14</t>
  </si>
  <si>
    <t xml:space="preserve">Conduit EMT 3/4" data sous dalle, vide + corde (11 + 7 courses)</t>
  </si>
  <si>
    <t xml:space="preserve">Dupuis « CONDUIT VIDE 3/4 » 1,4028 $/pi, 0,056 h/pi</t>
  </si>
  <si>
    <t xml:space="preserve">D-16</t>
  </si>
  <si>
    <t xml:space="preserve">Boîtes de tirage 4-11/16, connecteurs, supports — sous dalle</t>
  </si>
  <si>
    <t xml:space="preserve">Lumen 6,05 + 3,21 ; Dupuis boîte 0,25 h</t>
  </si>
  <si>
    <t xml:space="preserve">D-19</t>
  </si>
  <si>
    <t xml:space="preserve">Scan dalle béton (GPR) avant carottage</t>
  </si>
  <si>
    <t xml:space="preserve">3.32</t>
  </si>
  <si>
    <t xml:space="preserve">Dupuis « SCAN DALLE BETON » 1 250 $ / 2 h</t>
  </si>
  <si>
    <t xml:space="preserve">E-02</t>
  </si>
  <si>
    <t xml:space="preserve">Monuments de plancher Hubbell poke-through (prise 20 A + 2 RJ45)</t>
  </si>
  <si>
    <t xml:space="preserve">3.34</t>
  </si>
  <si>
    <t xml:space="preserve">Lumen 1 461,22 $ ; Dupuis monument 1 h</t>
  </si>
  <si>
    <t xml:space="preserve">E-03</t>
  </si>
  <si>
    <t xml:space="preserve">Boîtes de plancher refaites (salle 208)</t>
  </si>
  <si>
    <t xml:space="preserve">Dupuis « MONUMENT PLANCHER » 250 $ / 1 h</t>
  </si>
  <si>
    <t xml:space="preserve">E-04</t>
  </si>
  <si>
    <t xml:space="preserve">Cabines/salles étage : JB + prise</t>
  </si>
  <si>
    <t xml:space="preserve">E-01</t>
  </si>
  <si>
    <t xml:space="preserve">Postes aide au lecteur 227 : JB, 2 prises, data</t>
  </si>
  <si>
    <t xml:space="preserve">E-05</t>
  </si>
  <si>
    <t xml:space="preserve">Écran colonne étage : prise + data</t>
  </si>
  <si>
    <t xml:space="preserve">Sous-total section D</t>
  </si>
  <si>
    <t xml:space="preserve">3.35 — ÉCLAIRAGE, ÉCLAIRAGE D’URGENCE ET CONTRÔLE</t>
  </si>
  <si>
    <t xml:space="preserve">F-01</t>
  </si>
  <si>
    <t xml:space="preserve">Luminaire A1 2x4 LED encastré — pose</t>
  </si>
  <si>
    <t xml:space="preserve">3.35</t>
  </si>
  <si>
    <t xml:space="preserve">Dupuis « FIXTURE TYPE A » 0,75 h ; fourniture au lot</t>
  </si>
  <si>
    <t xml:space="preserve">F-02</t>
  </si>
  <si>
    <t xml:space="preserve">Luminaires C1 / C1_1 / C1_3 Axis (33 modules) — pose</t>
  </si>
  <si>
    <t xml:space="preserve">Dupuis 0,75 h/luminaire</t>
  </si>
  <si>
    <t xml:space="preserve">F-05</t>
  </si>
  <si>
    <t xml:space="preserve">Rangées linéaires suspendues (20) : suspension à la dalle, alimentation</t>
  </si>
  <si>
    <t xml:space="preserve">rangée</t>
  </si>
  <si>
    <t xml:space="preserve">Dupuis « DROP DE SWITCH »/alim. 0-10V 32-55 $ ; 1 h (Estimation_2)</t>
  </si>
  <si>
    <t xml:space="preserve">F-06</t>
  </si>
  <si>
    <t xml:space="preserve">Luminaire E cylindre suspendu — pose</t>
  </si>
  <si>
    <t xml:space="preserve">Dupuis 0,75 h ; 3 u (E-203)</t>
  </si>
  <si>
    <t xml:space="preserve">F-07</t>
  </si>
  <si>
    <t xml:space="preserve">Enseignes de sortie Z6 — pose</t>
  </si>
  <si>
    <t xml:space="preserve">Dupuis « ENSEIGNE SORTIE » 1 h</t>
  </si>
  <si>
    <t xml:space="preserve">F-11</t>
  </si>
  <si>
    <t xml:space="preserve">Interrupteurs neufs 15 A</t>
  </si>
  <si>
    <t xml:space="preserve">Dupuis « INTERRUPTEUR 15A 120V » 75,47 $ / 1,075 h</t>
  </si>
  <si>
    <t xml:space="preserve">F-08</t>
  </si>
  <si>
    <t xml:space="preserve">Conduit EMT 3/4" 03c12 + flexible — raccordement luminaires (35 points)</t>
  </si>
  <si>
    <t xml:space="preserve">Dupuis « CONDUIT 3/4 03C12 »</t>
  </si>
  <si>
    <t xml:space="preserve">F-10</t>
  </si>
  <si>
    <t xml:space="preserve">Chaînes de retenue à la dalle, boîtes de jonction, quincaillerie</t>
  </si>
  <si>
    <t xml:space="preserve">Dupuis « PARASIMIC » 10 $ / 0,25 h (retenue) — 1 par luminaire</t>
  </si>
  <si>
    <t xml:space="preserve">F-LOT</t>
  </si>
  <si>
    <t xml:space="preserve">PRIX DE LOT ÉCLAIRAGE : A1 ×11 (185 $), Axis SL1 4′×12 (290), 3′×15 (230), 1′×6 (110), trousses rangées (1 500), E ×3 (475), Z6 ×3 (161,60)</t>
  </si>
  <si>
    <t xml:space="preserve">Prix retenus (Gerrie prix réguliers / agents) — confirmés par Frank 2026-10-20</t>
  </si>
  <si>
    <t xml:space="preserve">Sous-total section F</t>
  </si>
  <si>
    <t xml:space="preserve">3.36 à 3.38 — ALARME INCENDIE</t>
  </si>
  <si>
    <t xml:space="preserve">G-01</t>
  </si>
  <si>
    <t xml:space="preserve">Détecteurs de fumée adressables + base (fournis JCI) — pose</t>
  </si>
  <si>
    <t xml:space="preserve">3.36</t>
  </si>
  <si>
    <t xml:space="preserve">Dupuis « DETECTEUR A FUMEE » 0,5 h</t>
  </si>
  <si>
    <t xml:space="preserve">G-01b</t>
  </si>
  <si>
    <t xml:space="preserve">Détecteurs Simplex 4098-9714 + base (fourniture JCI)</t>
  </si>
  <si>
    <t xml:space="preserve">Détecteurs JCI — confirmé par Frank 2026-10-20</t>
  </si>
  <si>
    <t xml:space="preserve">G-02</t>
  </si>
  <si>
    <t xml:space="preserve">Conduit EMT 3/4" boucle AI + câble FA 16/2</t>
  </si>
  <si>
    <t xml:space="preserve">Dupuis conduit vide 3/4 + fil alarme 16 AWG 0,028 h/pi</t>
  </si>
  <si>
    <t xml:space="preserve">G-04</t>
  </si>
  <si>
    <t xml:space="preserve">Relocalisation annonciateur Simplex</t>
  </si>
  <si>
    <t xml:space="preserve">3.37</t>
  </si>
  <si>
    <t xml:space="preserve">Dupuis « RELO PANN ANNOCIATEUR » 8 h</t>
  </si>
  <si>
    <t xml:space="preserve">G-05</t>
  </si>
  <si>
    <t xml:space="preserve">Démontage / protection / réinstallation dispositifs AI existants (zones touchées)</t>
  </si>
  <si>
    <t xml:space="preserve">G-06</t>
  </si>
  <si>
    <t xml:space="preserve">Assistance électricien programmation / vérification ULC-S537</t>
  </si>
  <si>
    <t xml:space="preserve">3.38</t>
  </si>
  <si>
    <t xml:space="preserve">G-07</t>
  </si>
  <si>
    <t xml:space="preserve">Services JCI/Simplex : bypass, programmation 4007ES, annonciateur, vérification partielle + certificat</t>
  </si>
  <si>
    <t xml:space="preserve">Services JCI — confirmé par Frank 2026-10-20</t>
  </si>
  <si>
    <t xml:space="preserve">Sous-total section G</t>
  </si>
  <si>
    <t xml:space="preserve">FRAIS DE CHANTIER (répartis sur 3.31)</t>
  </si>
  <si>
    <t xml:space="preserve">H-01</t>
  </si>
  <si>
    <t xml:space="preserve">Mobilisation / démobilisation, plateforme roulante</t>
  </si>
  <si>
    <t xml:space="preserve">Dupuis « NACELLE » 1 225 $ / 8 h</t>
  </si>
  <si>
    <t xml:space="preserve">H-02</t>
  </si>
  <si>
    <t xml:space="preserve">Coordination EG, dessins d’atelier, plans tels que construits</t>
  </si>
  <si>
    <t xml:space="preserve">H-03</t>
  </si>
  <si>
    <t xml:space="preserve">Essais, mise en service, vérification prises existantes (note 3), étiquetage</t>
  </si>
  <si>
    <t xml:space="preserve">H-04</t>
  </si>
  <si>
    <t xml:space="preserve">Nettoyage, gestion des déchets</t>
  </si>
  <si>
    <t xml:space="preserve">Sous-total section H</t>
  </si>
  <si>
    <t xml:space="preserve">TOTAL MATÉRIEL / LOTS ET HEURES RELEVÉES</t>
  </si>
  <si>
    <t xml:space="preserve">S-1902 — VENTILATION PAR ARTICLE DU BORDEREAU (Annexe 2.00)</t>
  </si>
  <si>
    <t xml:space="preserve">Total ACCEO par article = matériel + heures × taux (arrondi réparti au prorata) ; prix soumis = total × 1,244 arrondi au dollar ; 3.31 absorbe l’arrondi du total.</t>
  </si>
  <si>
    <t xml:space="preserve">Article</t>
  </si>
  <si>
    <t xml:space="preserve">Description (bordereau R.D.J.)</t>
  </si>
  <si>
    <t xml:space="preserve">Main-d’œuvre ($)</t>
  </si>
  <si>
    <t xml:space="preserve">Total ACCEO ($)</t>
  </si>
  <si>
    <t xml:space="preserve">Prix soumis ($)</t>
  </si>
  <si>
    <t xml:space="preserve">Démontage des éléments électriques</t>
  </si>
  <si>
    <t xml:space="preserve">Raccordement des équipements mécaniques</t>
  </si>
  <si>
    <t xml:space="preserve">Nouveau panneau 600 V</t>
  </si>
  <si>
    <t xml:space="preserve">Lot disjoncteurs</t>
  </si>
  <si>
    <t xml:space="preserve">MCC</t>
  </si>
  <si>
    <t xml:space="preserve">Prises doubles 15 A-120 V – USB</t>
  </si>
  <si>
    <t xml:space="preserve">Prises doubles 15 A-120 V</t>
  </si>
  <si>
    <t xml:space="preserve">Prises doubles 15 A-120 V MALT isolées</t>
  </si>
  <si>
    <t xml:space="preserve">Prises doubles 15 A-120 V GFI</t>
  </si>
  <si>
    <t xml:space="preserve">Percements, conduit, filage et boîtes de jonction</t>
  </si>
  <si>
    <t xml:space="preserve">Scan dalle béton</t>
  </si>
  <si>
    <t xml:space="preserve">Sorties informatique/réseau</t>
  </si>
  <si>
    <t xml:space="preserve">Monument plancher</t>
  </si>
  <si>
    <t xml:space="preserve">Appareils de contrôle + appareils d'éclairage</t>
  </si>
  <si>
    <t xml:space="preserve">Détecteur de fumée</t>
  </si>
  <si>
    <t xml:space="preserve">Panneau alarme incendie : déplacement annonciateur</t>
  </si>
  <si>
    <t xml:space="preserve">Panneau alarme incendie : mise en marche et certification</t>
  </si>
  <si>
    <t xml:space="preserve">Démolition des systèmes électriques</t>
  </si>
  <si>
    <t xml:space="preserve">TOTAL ÉLECTRICITÉ (avant taxes)</t>
  </si>
  <si>
    <t xml:space="preserve">TPS 5 %</t>
  </si>
  <si>
    <t xml:space="preserve">TVQ 9,975 %</t>
  </si>
  <si>
    <t xml:space="preserve">TOTAL TAXES INCLUSES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</si>
</sst>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&quot; $&quot;;\-#,##0.00&quot; $&quot;;\-"/>
    <numFmt numFmtId="166" formatCode="#,##0.00;\-#,##0.00;\-"/>
    <numFmt numFmtId="167" formatCode="0.0%"/>
    <numFmt numFmtId="168" formatCode="0.000"/>
    <numFmt numFmtId="169" formatCode="#,##0&quot; $&quot;;\-#,##0&quot; $&quot;;\-"/>
    <numFmt numFmtId="170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B1A1A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color rgb="FF6B1A1A"/>
      <name val="Arial"/>
      <family val="0"/>
      <charset val="1"/>
    </font>
    <font>
      <b val="true"/>
      <sz val="10"/>
      <color rgb="FF6B1A1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5E6E6"/>
        <bgColor rgb="FFF2F2F2"/>
      </patternFill>
    </fill>
    <fill>
      <patternFill patternType="solid">
        <fgColor rgb="FF6B1A1A"/>
        <bgColor rgb="FF800000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5E6E6"/>
      </patternFill>
    </fill>
    <fill>
      <patternFill patternType="solid">
        <fgColor rgb="FFF2F2F2"/>
        <bgColor rgb="FFFAFAF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6B1A1A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6B1A1A"/>
      </top>
      <bottom style="medium">
        <color rgb="FF6B1A1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8" fillId="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7" fillId="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0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7" fillId="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B1A1A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AFA"/>
      <rgbColor rgb="FFF5E6E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466200</xdr:colOff>
      <xdr:row>1</xdr:row>
      <xdr:rowOff>190080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466200" cy="495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466200</xdr:colOff>
      <xdr:row>1</xdr:row>
      <xdr:rowOff>190080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466200" cy="495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466200</xdr:colOff>
      <xdr:row>1</xdr:row>
      <xdr:rowOff>190080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466200" cy="495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20"/>
    <col collapsed="false" customWidth="true" hidden="false" outlineLevel="0" max="3" min="3" style="0" width="54"/>
  </cols>
  <sheetData>
    <row r="1" customFormat="false" ht="24" hidden="false" customHeight="true" outlineLevel="0" collapsed="false">
      <c r="A1" s="1"/>
      <c r="B1" s="2" t="s">
        <v>0</v>
      </c>
      <c r="C1" s="2"/>
    </row>
    <row r="2" customFormat="false" ht="18" hidden="false" customHeight="true" outlineLevel="0" collapsed="false">
      <c r="A2" s="1"/>
      <c r="B2" s="3" t="s">
        <v>1</v>
      </c>
      <c r="C2" s="3"/>
    </row>
    <row r="3" customFormat="false" ht="33.75" hidden="false" customHeight="true" outlineLevel="0" collapsed="false">
      <c r="A3" s="4" t="s">
        <v>2</v>
      </c>
      <c r="B3" s="4"/>
      <c r="C3" s="4"/>
    </row>
    <row r="5" customFormat="false" ht="27.75" hidden="false" customHeight="true" outlineLevel="0" collapsed="false">
      <c r="A5" s="5" t="s">
        <v>3</v>
      </c>
      <c r="B5" s="5" t="s">
        <v>4</v>
      </c>
      <c r="C5" s="5" t="s">
        <v>5</v>
      </c>
    </row>
    <row r="6" customFormat="false" ht="21.75" hidden="false" customHeight="true" outlineLevel="0" collapsed="false">
      <c r="A6" s="6" t="s">
        <v>6</v>
      </c>
      <c r="B6" s="7" t="n">
        <v>85</v>
      </c>
      <c r="C6" s="8" t="s">
        <v>7</v>
      </c>
    </row>
    <row r="7" customFormat="false" ht="21.75" hidden="false" customHeight="true" outlineLevel="0" collapsed="false">
      <c r="A7" s="6" t="s">
        <v>8</v>
      </c>
      <c r="B7" s="9" t="n">
        <f aca="false">Détail!H99</f>
        <v>62962.6754</v>
      </c>
      <c r="C7" s="8" t="s">
        <v>9</v>
      </c>
    </row>
    <row r="8" customFormat="false" ht="21.75" hidden="false" customHeight="true" outlineLevel="0" collapsed="false">
      <c r="A8" s="6" t="s">
        <v>10</v>
      </c>
      <c r="B8" s="10" t="n">
        <f aca="false">Détail!I99</f>
        <v>980.77535</v>
      </c>
      <c r="C8" s="8" t="s">
        <v>11</v>
      </c>
    </row>
    <row r="9" customFormat="false" ht="21.75" hidden="false" customHeight="true" outlineLevel="0" collapsed="false">
      <c r="A9" s="6" t="s">
        <v>12</v>
      </c>
      <c r="B9" s="10" t="n">
        <f aca="false">CEILING(B8,10)</f>
        <v>990</v>
      </c>
      <c r="C9" s="8" t="s">
        <v>13</v>
      </c>
    </row>
    <row r="10" customFormat="false" ht="21.75" hidden="false" customHeight="true" outlineLevel="0" collapsed="false">
      <c r="A10" s="6" t="s">
        <v>14</v>
      </c>
      <c r="B10" s="9" t="n">
        <f aca="false">B9*B6</f>
        <v>84150</v>
      </c>
      <c r="C10" s="8"/>
    </row>
    <row r="11" customFormat="false" ht="21.75" hidden="false" customHeight="true" outlineLevel="0" collapsed="false">
      <c r="A11" s="11" t="s">
        <v>15</v>
      </c>
      <c r="B11" s="12" t="n">
        <f aca="false">B7+B10</f>
        <v>147112.6754</v>
      </c>
      <c r="C11" s="11" t="s">
        <v>16</v>
      </c>
    </row>
    <row r="12" customFormat="false" ht="21.75" hidden="false" customHeight="true" outlineLevel="0" collapsed="false">
      <c r="A12" s="6" t="s">
        <v>17</v>
      </c>
      <c r="B12" s="13" t="n">
        <f aca="false">B10/B11</f>
        <v>0.57201053390672</v>
      </c>
      <c r="C12" s="8" t="s">
        <v>18</v>
      </c>
    </row>
    <row r="13" customFormat="false" ht="21.75" hidden="false" customHeight="true" outlineLevel="0" collapsed="false">
      <c r="A13" s="6" t="s">
        <v>19</v>
      </c>
      <c r="B13" s="14" t="n">
        <v>1.244</v>
      </c>
      <c r="C13" s="8" t="s">
        <v>20</v>
      </c>
    </row>
    <row r="14" customFormat="false" ht="21.75" hidden="false" customHeight="true" outlineLevel="0" collapsed="false">
      <c r="A14" s="6" t="s">
        <v>21</v>
      </c>
      <c r="B14" s="15" t="n">
        <f aca="false">ROUND(B11*B13,0)</f>
        <v>183008</v>
      </c>
      <c r="C14" s="8"/>
    </row>
    <row r="15" customFormat="false" ht="21.75" hidden="false" customHeight="true" outlineLevel="0" collapsed="false">
      <c r="A15" s="11" t="s">
        <v>22</v>
      </c>
      <c r="B15" s="16" t="n">
        <v>183000</v>
      </c>
      <c r="C15" s="11" t="s">
        <v>23</v>
      </c>
    </row>
    <row r="16" customFormat="false" ht="21.75" hidden="false" customHeight="true" outlineLevel="0" collapsed="false">
      <c r="A16" s="6" t="s">
        <v>24</v>
      </c>
      <c r="B16" s="17" t="n">
        <f aca="false">B9/(B15/100000)</f>
        <v>540.983606557377</v>
      </c>
      <c r="C16" s="8" t="s">
        <v>25</v>
      </c>
    </row>
    <row r="18" customFormat="false" ht="15" hidden="false" customHeight="false" outlineLevel="0" collapsed="false">
      <c r="A18" s="18" t="s">
        <v>26</v>
      </c>
    </row>
    <row r="19" customFormat="false" ht="27.75" hidden="false" customHeight="true" outlineLevel="0" collapsed="false">
      <c r="A19" s="5" t="s">
        <v>27</v>
      </c>
      <c r="B19" s="5" t="s">
        <v>28</v>
      </c>
      <c r="C19" s="5" t="s">
        <v>29</v>
      </c>
    </row>
    <row r="20" customFormat="false" ht="15" hidden="false" customHeight="false" outlineLevel="0" collapsed="false">
      <c r="A20" s="19" t="s">
        <v>30</v>
      </c>
      <c r="B20" s="20" t="n">
        <v>112381.39</v>
      </c>
      <c r="C20" s="21" t="s">
        <v>31</v>
      </c>
    </row>
    <row r="21" customFormat="false" ht="15" hidden="false" customHeight="false" outlineLevel="0" collapsed="false">
      <c r="A21" s="19" t="s">
        <v>32</v>
      </c>
      <c r="B21" s="20" t="n">
        <v>158296</v>
      </c>
      <c r="C21" s="21" t="s">
        <v>33</v>
      </c>
    </row>
    <row r="22" customFormat="false" ht="15" hidden="false" customHeight="false" outlineLevel="0" collapsed="false">
      <c r="A22" s="19" t="s">
        <v>34</v>
      </c>
      <c r="B22" s="20" t="n">
        <f aca="false">B15</f>
        <v>183000</v>
      </c>
      <c r="C22" s="21" t="s">
        <v>35</v>
      </c>
    </row>
    <row r="24" customFormat="false" ht="15" hidden="false" customHeight="false" outlineLevel="0" collapsed="false">
      <c r="A24" s="18" t="s">
        <v>36</v>
      </c>
    </row>
    <row r="25" customFormat="false" ht="27.75" hidden="false" customHeight="true" outlineLevel="0" collapsed="false">
      <c r="A25" s="5" t="s">
        <v>3</v>
      </c>
      <c r="B25" s="5" t="s">
        <v>37</v>
      </c>
      <c r="C25" s="5" t="s">
        <v>38</v>
      </c>
    </row>
    <row r="26" customFormat="false" ht="25.5" hidden="false" customHeight="true" outlineLevel="0" collapsed="false">
      <c r="A26" s="6" t="s">
        <v>39</v>
      </c>
      <c r="B26" s="15" t="n">
        <v>13034.8</v>
      </c>
      <c r="C26" s="8" t="s">
        <v>40</v>
      </c>
    </row>
    <row r="27" customFormat="false" ht="25.5" hidden="false" customHeight="true" outlineLevel="0" collapsed="false">
      <c r="A27" s="6" t="s">
        <v>41</v>
      </c>
      <c r="B27" s="15" t="n">
        <v>6200</v>
      </c>
      <c r="C27" s="8" t="s">
        <v>42</v>
      </c>
    </row>
    <row r="28" customFormat="false" ht="25.5" hidden="false" customHeight="true" outlineLevel="0" collapsed="false">
      <c r="A28" s="6" t="s">
        <v>43</v>
      </c>
      <c r="B28" s="15" t="n">
        <v>8000</v>
      </c>
      <c r="C28" s="8" t="s">
        <v>44</v>
      </c>
    </row>
    <row r="29" customFormat="false" ht="25.5" hidden="false" customHeight="true" outlineLevel="0" collapsed="false">
      <c r="A29" s="6" t="s">
        <v>45</v>
      </c>
      <c r="B29" s="15" t="n">
        <v>1250</v>
      </c>
      <c r="C29" s="8" t="s">
        <v>46</v>
      </c>
    </row>
  </sheetData>
  <mergeCells count="3">
    <mergeCell ref="B1:C1"/>
    <mergeCell ref="B2:C2"/>
    <mergeCell ref="A3:C3"/>
  </mergeCells>
  <printOptions headings="false" gridLines="false" gridLinesSet="true" horizontalCentered="false" verticalCentered="false"/>
  <pageMargins left="0.4" right="0.4" top="0.6" bottom="0.6" header="0.3" footer="0.3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&amp;L&amp;"Arial,Bold"&amp;9Le Groupe DR Électrique inc. — S-1902 Bibliothèque Georgette-Lepage&amp;R&amp;9Chiffrage méthode Dupuis — 2026-10-20</oddHeader>
    <oddFooter>&amp;L&amp;8DR Électrique inc. | Merci de votre confiance&amp;R&amp;8Page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6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0" min="10" style="0" width="58"/>
  </cols>
  <sheetData>
    <row r="1" customFormat="false" ht="24" hidden="false" customHeight="true" outlineLevel="0" collapsed="false">
      <c r="A1" s="1"/>
      <c r="B1" s="2" t="s">
        <v>47</v>
      </c>
      <c r="C1" s="2"/>
      <c r="D1" s="2"/>
      <c r="E1" s="2"/>
      <c r="F1" s="2"/>
      <c r="G1" s="2"/>
      <c r="H1" s="2"/>
      <c r="I1" s="2"/>
      <c r="J1" s="2"/>
    </row>
    <row r="2" customFormat="false" ht="18" hidden="false" customHeight="true" outlineLevel="0" collapsed="false">
      <c r="A2" s="1"/>
      <c r="B2" s="3" t="s">
        <v>48</v>
      </c>
      <c r="C2" s="3"/>
      <c r="D2" s="3"/>
      <c r="E2" s="3"/>
      <c r="F2" s="3"/>
      <c r="G2" s="3"/>
      <c r="H2" s="3"/>
      <c r="I2" s="3"/>
      <c r="J2" s="3"/>
    </row>
    <row r="3" customFormat="false" ht="15" hidden="false" customHeight="false" outlineLevel="0" collapsed="false">
      <c r="A3" s="22"/>
      <c r="B3" s="22"/>
      <c r="C3" s="22"/>
      <c r="D3" s="22"/>
      <c r="E3" s="22"/>
      <c r="F3" s="22"/>
      <c r="G3" s="22"/>
      <c r="H3" s="22"/>
      <c r="I3" s="22"/>
      <c r="J3" s="22"/>
    </row>
    <row r="4" customFormat="false" ht="27.75" hidden="false" customHeight="true" outlineLevel="0" collapsed="false">
      <c r="A4" s="5" t="s">
        <v>49</v>
      </c>
      <c r="B4" s="5" t="s">
        <v>50</v>
      </c>
      <c r="C4" s="5" t="s">
        <v>51</v>
      </c>
      <c r="D4" s="5" t="s">
        <v>52</v>
      </c>
      <c r="E4" s="5" t="s">
        <v>53</v>
      </c>
      <c r="F4" s="5" t="s">
        <v>54</v>
      </c>
      <c r="G4" s="5" t="s">
        <v>55</v>
      </c>
      <c r="H4" s="5" t="s">
        <v>56</v>
      </c>
      <c r="I4" s="5" t="s">
        <v>57</v>
      </c>
      <c r="J4" s="5" t="s">
        <v>58</v>
      </c>
    </row>
    <row r="5" customFormat="false" ht="15" hidden="false" customHeight="false" outlineLevel="0" collapsed="false">
      <c r="A5" s="23" t="s">
        <v>59</v>
      </c>
      <c r="B5" s="23"/>
      <c r="C5" s="23"/>
      <c r="D5" s="23"/>
      <c r="E5" s="23"/>
      <c r="F5" s="23"/>
      <c r="G5" s="23"/>
      <c r="H5" s="23"/>
      <c r="I5" s="23"/>
      <c r="J5" s="23"/>
    </row>
    <row r="6" customFormat="false" ht="24" hidden="false" customHeight="true" outlineLevel="0" collapsed="false">
      <c r="A6" s="24" t="s">
        <v>60</v>
      </c>
      <c r="B6" s="25" t="s">
        <v>61</v>
      </c>
      <c r="C6" s="26" t="n">
        <v>39</v>
      </c>
      <c r="D6" s="24" t="s">
        <v>62</v>
      </c>
      <c r="E6" s="27" t="n">
        <v>0</v>
      </c>
      <c r="F6" s="28" t="n">
        <v>0.5</v>
      </c>
      <c r="G6" s="24" t="s">
        <v>63</v>
      </c>
      <c r="H6" s="29" t="n">
        <f aca="false">C6*E6</f>
        <v>0</v>
      </c>
      <c r="I6" s="30" t="n">
        <f aca="false">C6*F6</f>
        <v>19.5</v>
      </c>
      <c r="J6" s="25" t="s">
        <v>64</v>
      </c>
    </row>
    <row r="7" customFormat="false" ht="24" hidden="false" customHeight="true" outlineLevel="0" collapsed="false">
      <c r="A7" s="31" t="s">
        <v>65</v>
      </c>
      <c r="B7" s="32" t="s">
        <v>66</v>
      </c>
      <c r="C7" s="33" t="n">
        <v>7</v>
      </c>
      <c r="D7" s="31" t="s">
        <v>62</v>
      </c>
      <c r="E7" s="34" t="n">
        <v>0</v>
      </c>
      <c r="F7" s="35" t="n">
        <v>0.5</v>
      </c>
      <c r="G7" s="31" t="s">
        <v>63</v>
      </c>
      <c r="H7" s="36" t="n">
        <f aca="false">C7*E7</f>
        <v>0</v>
      </c>
      <c r="I7" s="37" t="n">
        <f aca="false">C7*F7</f>
        <v>3.5</v>
      </c>
      <c r="J7" s="32" t="s">
        <v>67</v>
      </c>
    </row>
    <row r="8" customFormat="false" ht="24" hidden="false" customHeight="true" outlineLevel="0" collapsed="false">
      <c r="A8" s="24" t="s">
        <v>68</v>
      </c>
      <c r="B8" s="25" t="s">
        <v>69</v>
      </c>
      <c r="C8" s="26" t="n">
        <v>34</v>
      </c>
      <c r="D8" s="24" t="s">
        <v>62</v>
      </c>
      <c r="E8" s="27" t="n">
        <v>0</v>
      </c>
      <c r="F8" s="28" t="n">
        <v>0.35</v>
      </c>
      <c r="G8" s="24" t="s">
        <v>63</v>
      </c>
      <c r="H8" s="29" t="n">
        <f aca="false">C8*E8</f>
        <v>0</v>
      </c>
      <c r="I8" s="30" t="n">
        <f aca="false">C8*F8</f>
        <v>11.9</v>
      </c>
      <c r="J8" s="25" t="s">
        <v>70</v>
      </c>
    </row>
    <row r="9" customFormat="false" ht="24" hidden="false" customHeight="true" outlineLevel="0" collapsed="false">
      <c r="A9" s="31" t="s">
        <v>71</v>
      </c>
      <c r="B9" s="32" t="s">
        <v>72</v>
      </c>
      <c r="C9" s="33" t="n">
        <v>10</v>
      </c>
      <c r="D9" s="31" t="s">
        <v>62</v>
      </c>
      <c r="E9" s="34" t="n">
        <v>0</v>
      </c>
      <c r="F9" s="35" t="n">
        <v>0.35</v>
      </c>
      <c r="G9" s="31" t="s">
        <v>63</v>
      </c>
      <c r="H9" s="36" t="n">
        <f aca="false">C9*E9</f>
        <v>0</v>
      </c>
      <c r="I9" s="37" t="n">
        <f aca="false">C9*F9</f>
        <v>3.5</v>
      </c>
      <c r="J9" s="32" t="s">
        <v>67</v>
      </c>
    </row>
    <row r="10" customFormat="false" ht="24" hidden="false" customHeight="true" outlineLevel="0" collapsed="false">
      <c r="A10" s="24" t="s">
        <v>73</v>
      </c>
      <c r="B10" s="25" t="s">
        <v>74</v>
      </c>
      <c r="C10" s="26" t="n">
        <v>13</v>
      </c>
      <c r="D10" s="24" t="s">
        <v>62</v>
      </c>
      <c r="E10" s="27" t="n">
        <v>0</v>
      </c>
      <c r="F10" s="28" t="n">
        <v>1</v>
      </c>
      <c r="G10" s="24" t="s">
        <v>75</v>
      </c>
      <c r="H10" s="29" t="n">
        <f aca="false">C10*E10</f>
        <v>0</v>
      </c>
      <c r="I10" s="30" t="n">
        <f aca="false">C10*F10</f>
        <v>13</v>
      </c>
      <c r="J10" s="25" t="s">
        <v>76</v>
      </c>
    </row>
    <row r="11" customFormat="false" ht="24" hidden="false" customHeight="true" outlineLevel="0" collapsed="false">
      <c r="A11" s="31" t="s">
        <v>77</v>
      </c>
      <c r="B11" s="32" t="s">
        <v>78</v>
      </c>
      <c r="C11" s="33" t="n">
        <v>7</v>
      </c>
      <c r="D11" s="31" t="s">
        <v>62</v>
      </c>
      <c r="E11" s="34" t="n">
        <v>0</v>
      </c>
      <c r="F11" s="35" t="n">
        <v>1</v>
      </c>
      <c r="G11" s="31" t="s">
        <v>75</v>
      </c>
      <c r="H11" s="36" t="n">
        <f aca="false">C11*E11</f>
        <v>0</v>
      </c>
      <c r="I11" s="37" t="n">
        <f aca="false">C11*F11</f>
        <v>7</v>
      </c>
      <c r="J11" s="32" t="s">
        <v>79</v>
      </c>
    </row>
    <row r="12" customFormat="false" ht="24" hidden="false" customHeight="true" outlineLevel="0" collapsed="false">
      <c r="A12" s="24" t="s">
        <v>80</v>
      </c>
      <c r="B12" s="25" t="s">
        <v>81</v>
      </c>
      <c r="C12" s="26" t="n">
        <v>1</v>
      </c>
      <c r="D12" s="24" t="s">
        <v>82</v>
      </c>
      <c r="E12" s="38" t="n">
        <v>0</v>
      </c>
      <c r="F12" s="39" t="n">
        <v>6</v>
      </c>
      <c r="G12" s="24" t="s">
        <v>75</v>
      </c>
      <c r="H12" s="29" t="n">
        <f aca="false">C12*E12</f>
        <v>0</v>
      </c>
      <c r="I12" s="30" t="n">
        <f aca="false">C12*F12</f>
        <v>6</v>
      </c>
      <c r="J12" s="25" t="s">
        <v>83</v>
      </c>
    </row>
    <row r="13" customFormat="false" ht="24" hidden="false" customHeight="true" outlineLevel="0" collapsed="false">
      <c r="A13" s="31" t="s">
        <v>84</v>
      </c>
      <c r="B13" s="32" t="s">
        <v>85</v>
      </c>
      <c r="C13" s="33" t="n">
        <v>21</v>
      </c>
      <c r="D13" s="31" t="s">
        <v>62</v>
      </c>
      <c r="E13" s="34" t="n">
        <v>0</v>
      </c>
      <c r="F13" s="35" t="n">
        <v>0.85</v>
      </c>
      <c r="G13" s="31" t="s">
        <v>75</v>
      </c>
      <c r="H13" s="36" t="n">
        <f aca="false">C13*E13</f>
        <v>0</v>
      </c>
      <c r="I13" s="37" t="n">
        <f aca="false">C13*F13</f>
        <v>17.85</v>
      </c>
      <c r="J13" s="32" t="s">
        <v>86</v>
      </c>
    </row>
    <row r="14" customFormat="false" ht="24" hidden="false" customHeight="true" outlineLevel="0" collapsed="false">
      <c r="A14" s="24" t="s">
        <v>87</v>
      </c>
      <c r="B14" s="25" t="s">
        <v>88</v>
      </c>
      <c r="C14" s="26" t="n">
        <v>24</v>
      </c>
      <c r="D14" s="24" t="s">
        <v>62</v>
      </c>
      <c r="E14" s="27" t="n">
        <v>0</v>
      </c>
      <c r="F14" s="28" t="n">
        <v>0.75</v>
      </c>
      <c r="G14" s="24" t="s">
        <v>75</v>
      </c>
      <c r="H14" s="29" t="n">
        <f aca="false">C14*E14</f>
        <v>0</v>
      </c>
      <c r="I14" s="30" t="n">
        <f aca="false">C14*F14</f>
        <v>18</v>
      </c>
      <c r="J14" s="25" t="s">
        <v>89</v>
      </c>
    </row>
    <row r="15" customFormat="false" ht="36" hidden="false" customHeight="true" outlineLevel="0" collapsed="false">
      <c r="A15" s="31" t="s">
        <v>90</v>
      </c>
      <c r="B15" s="32" t="s">
        <v>91</v>
      </c>
      <c r="C15" s="33" t="n">
        <v>6</v>
      </c>
      <c r="D15" s="31" t="s">
        <v>62</v>
      </c>
      <c r="E15" s="38" t="n">
        <v>0</v>
      </c>
      <c r="F15" s="39" t="n">
        <v>4</v>
      </c>
      <c r="G15" s="31" t="s">
        <v>75</v>
      </c>
      <c r="H15" s="36" t="n">
        <f aca="false">C15*E15</f>
        <v>0</v>
      </c>
      <c r="I15" s="37" t="n">
        <f aca="false">C15*F15</f>
        <v>24</v>
      </c>
      <c r="J15" s="32" t="s">
        <v>83</v>
      </c>
    </row>
    <row r="16" customFormat="false" ht="36" hidden="false" customHeight="true" outlineLevel="0" collapsed="false">
      <c r="A16" s="24" t="s">
        <v>92</v>
      </c>
      <c r="B16" s="25" t="s">
        <v>93</v>
      </c>
      <c r="C16" s="26" t="n">
        <v>1</v>
      </c>
      <c r="D16" s="24" t="s">
        <v>82</v>
      </c>
      <c r="E16" s="38" t="n">
        <v>0</v>
      </c>
      <c r="F16" s="39" t="n">
        <v>16</v>
      </c>
      <c r="G16" s="24" t="s">
        <v>75</v>
      </c>
      <c r="H16" s="29" t="n">
        <f aca="false">C16*E16</f>
        <v>0</v>
      </c>
      <c r="I16" s="30" t="n">
        <f aca="false">C16*F16</f>
        <v>16</v>
      </c>
      <c r="J16" s="25" t="s">
        <v>83</v>
      </c>
    </row>
    <row r="17" customFormat="false" ht="15" hidden="false" customHeight="false" outlineLevel="0" collapsed="false">
      <c r="A17" s="40"/>
      <c r="B17" s="40" t="s">
        <v>94</v>
      </c>
      <c r="C17" s="40"/>
      <c r="D17" s="40"/>
      <c r="E17" s="40"/>
      <c r="F17" s="40"/>
      <c r="G17" s="40"/>
      <c r="H17" s="41" t="n">
        <f aca="false">SUM(H6:H16)</f>
        <v>0</v>
      </c>
      <c r="I17" s="42" t="n">
        <f aca="false">SUM(I6:I16)</f>
        <v>140.25</v>
      </c>
      <c r="J17" s="40"/>
    </row>
    <row r="19" customFormat="false" ht="15" hidden="false" customHeight="false" outlineLevel="0" collapsed="false">
      <c r="A19" s="23" t="s">
        <v>95</v>
      </c>
      <c r="B19" s="23"/>
      <c r="C19" s="23"/>
      <c r="D19" s="23"/>
      <c r="E19" s="23"/>
      <c r="F19" s="23"/>
      <c r="G19" s="23"/>
      <c r="H19" s="23"/>
      <c r="I19" s="23"/>
      <c r="J19" s="23"/>
    </row>
    <row r="20" customFormat="false" ht="24" hidden="false" customHeight="true" outlineLevel="0" collapsed="false">
      <c r="A20" s="24" t="s">
        <v>96</v>
      </c>
      <c r="B20" s="25" t="s">
        <v>97</v>
      </c>
      <c r="C20" s="26" t="n">
        <v>1</v>
      </c>
      <c r="D20" s="24" t="s">
        <v>62</v>
      </c>
      <c r="E20" s="27" t="n">
        <v>0</v>
      </c>
      <c r="F20" s="28" t="n">
        <v>8</v>
      </c>
      <c r="G20" s="24" t="s">
        <v>98</v>
      </c>
      <c r="H20" s="29" t="n">
        <f aca="false">C20*E20</f>
        <v>0</v>
      </c>
      <c r="I20" s="30" t="n">
        <f aca="false">C20*F20</f>
        <v>8</v>
      </c>
      <c r="J20" s="25" t="s">
        <v>99</v>
      </c>
    </row>
    <row r="21" customFormat="false" ht="24" hidden="false" customHeight="true" outlineLevel="0" collapsed="false">
      <c r="A21" s="31" t="s">
        <v>100</v>
      </c>
      <c r="B21" s="32" t="s">
        <v>101</v>
      </c>
      <c r="C21" s="33" t="n">
        <v>14</v>
      </c>
      <c r="D21" s="31" t="s">
        <v>102</v>
      </c>
      <c r="E21" s="38" t="n">
        <v>0</v>
      </c>
      <c r="F21" s="39" t="n">
        <v>0.75</v>
      </c>
      <c r="G21" s="31" t="s">
        <v>98</v>
      </c>
      <c r="H21" s="36" t="n">
        <f aca="false">C21*E21</f>
        <v>0</v>
      </c>
      <c r="I21" s="37" t="n">
        <f aca="false">C21*F21</f>
        <v>10.5</v>
      </c>
      <c r="J21" s="32" t="s">
        <v>103</v>
      </c>
    </row>
    <row r="22" customFormat="false" ht="24" hidden="false" customHeight="true" outlineLevel="0" collapsed="false">
      <c r="A22" s="24" t="s">
        <v>104</v>
      </c>
      <c r="B22" s="25" t="s">
        <v>105</v>
      </c>
      <c r="C22" s="26" t="n">
        <v>17</v>
      </c>
      <c r="D22" s="24" t="s">
        <v>62</v>
      </c>
      <c r="E22" s="27" t="n">
        <v>0</v>
      </c>
      <c r="F22" s="28" t="n">
        <v>0.2</v>
      </c>
      <c r="G22" s="24" t="s">
        <v>106</v>
      </c>
      <c r="H22" s="29" t="n">
        <f aca="false">C22*E22</f>
        <v>0</v>
      </c>
      <c r="I22" s="30" t="n">
        <f aca="false">C22*F22</f>
        <v>3.4</v>
      </c>
      <c r="J22" s="25" t="s">
        <v>107</v>
      </c>
    </row>
    <row r="23" customFormat="false" ht="24" hidden="false" customHeight="true" outlineLevel="0" collapsed="false">
      <c r="A23" s="31" t="s">
        <v>108</v>
      </c>
      <c r="B23" s="32" t="s">
        <v>109</v>
      </c>
      <c r="C23" s="33" t="n">
        <v>3</v>
      </c>
      <c r="D23" s="31" t="s">
        <v>62</v>
      </c>
      <c r="E23" s="34" t="n">
        <v>0</v>
      </c>
      <c r="F23" s="35" t="n">
        <v>1</v>
      </c>
      <c r="G23" s="31" t="s">
        <v>106</v>
      </c>
      <c r="H23" s="36" t="n">
        <f aca="false">C23*E23</f>
        <v>0</v>
      </c>
      <c r="I23" s="37" t="n">
        <f aca="false">C23*F23</f>
        <v>3</v>
      </c>
      <c r="J23" s="32" t="s">
        <v>110</v>
      </c>
    </row>
    <row r="24" customFormat="false" ht="24" hidden="false" customHeight="true" outlineLevel="0" collapsed="false">
      <c r="A24" s="24" t="s">
        <v>111</v>
      </c>
      <c r="B24" s="25" t="s">
        <v>112</v>
      </c>
      <c r="C24" s="26" t="n">
        <v>3</v>
      </c>
      <c r="D24" s="24" t="s">
        <v>62</v>
      </c>
      <c r="E24" s="27" t="n">
        <v>0</v>
      </c>
      <c r="F24" s="28" t="n">
        <v>0.4</v>
      </c>
      <c r="G24" s="24" t="s">
        <v>106</v>
      </c>
      <c r="H24" s="29" t="n">
        <f aca="false">C24*E24</f>
        <v>0</v>
      </c>
      <c r="I24" s="30" t="n">
        <f aca="false">C24*F24</f>
        <v>1.2</v>
      </c>
      <c r="J24" s="25" t="s">
        <v>113</v>
      </c>
    </row>
    <row r="25" customFormat="false" ht="24" hidden="false" customHeight="true" outlineLevel="0" collapsed="false">
      <c r="A25" s="31" t="s">
        <v>114</v>
      </c>
      <c r="B25" s="32" t="s">
        <v>115</v>
      </c>
      <c r="C25" s="33" t="n">
        <v>9</v>
      </c>
      <c r="D25" s="31" t="s">
        <v>62</v>
      </c>
      <c r="E25" s="34" t="n">
        <v>15</v>
      </c>
      <c r="F25" s="35" t="n">
        <v>1</v>
      </c>
      <c r="G25" s="31" t="s">
        <v>98</v>
      </c>
      <c r="H25" s="36" t="n">
        <f aca="false">C25*E25</f>
        <v>135</v>
      </c>
      <c r="I25" s="37" t="n">
        <f aca="false">C25*F25</f>
        <v>9</v>
      </c>
      <c r="J25" s="32" t="s">
        <v>116</v>
      </c>
    </row>
    <row r="26" customFormat="false" ht="24" hidden="false" customHeight="true" outlineLevel="0" collapsed="false">
      <c r="A26" s="24" t="s">
        <v>117</v>
      </c>
      <c r="B26" s="25" t="s">
        <v>118</v>
      </c>
      <c r="C26" s="26" t="n">
        <v>2</v>
      </c>
      <c r="D26" s="24" t="s">
        <v>62</v>
      </c>
      <c r="E26" s="38" t="n">
        <v>15</v>
      </c>
      <c r="F26" s="39" t="n">
        <v>2</v>
      </c>
      <c r="G26" s="24" t="s">
        <v>119</v>
      </c>
      <c r="H26" s="29" t="n">
        <f aca="false">C26*E26</f>
        <v>30</v>
      </c>
      <c r="I26" s="30" t="n">
        <f aca="false">C26*F26</f>
        <v>4</v>
      </c>
      <c r="J26" s="25" t="s">
        <v>120</v>
      </c>
    </row>
    <row r="27" customFormat="false" ht="36" hidden="false" customHeight="true" outlineLevel="0" collapsed="false">
      <c r="A27" s="31" t="s">
        <v>121</v>
      </c>
      <c r="B27" s="32" t="s">
        <v>122</v>
      </c>
      <c r="C27" s="33" t="n">
        <v>1</v>
      </c>
      <c r="D27" s="31" t="s">
        <v>82</v>
      </c>
      <c r="E27" s="34" t="n">
        <v>6200</v>
      </c>
      <c r="F27" s="35" t="n">
        <v>0</v>
      </c>
      <c r="G27" s="31" t="s">
        <v>98</v>
      </c>
      <c r="H27" s="36" t="n">
        <f aca="false">C27*E27</f>
        <v>6200</v>
      </c>
      <c r="I27" s="37" t="n">
        <f aca="false">C27*F27</f>
        <v>0</v>
      </c>
      <c r="J27" s="32" t="s">
        <v>123</v>
      </c>
    </row>
    <row r="28" customFormat="false" ht="15" hidden="false" customHeight="false" outlineLevel="0" collapsed="false">
      <c r="A28" s="40"/>
      <c r="B28" s="40" t="s">
        <v>124</v>
      </c>
      <c r="C28" s="40"/>
      <c r="D28" s="40"/>
      <c r="E28" s="40"/>
      <c r="F28" s="40"/>
      <c r="G28" s="40"/>
      <c r="H28" s="41" t="n">
        <f aca="false">SUM(H20:H27)</f>
        <v>6365</v>
      </c>
      <c r="I28" s="42" t="n">
        <f aca="false">SUM(I20:I27)</f>
        <v>39.1</v>
      </c>
      <c r="J28" s="40"/>
    </row>
    <row r="30" customFormat="false" ht="15" hidden="false" customHeight="false" outlineLevel="0" collapsed="false">
      <c r="A30" s="23" t="s">
        <v>125</v>
      </c>
      <c r="B30" s="23"/>
      <c r="C30" s="23"/>
      <c r="D30" s="23"/>
      <c r="E30" s="23"/>
      <c r="F30" s="23"/>
      <c r="G30" s="23"/>
      <c r="H30" s="23"/>
      <c r="I30" s="23"/>
      <c r="J30" s="23"/>
    </row>
    <row r="31" customFormat="false" ht="36" hidden="false" customHeight="true" outlineLevel="0" collapsed="false">
      <c r="A31" s="24" t="s">
        <v>126</v>
      </c>
      <c r="B31" s="25" t="s">
        <v>127</v>
      </c>
      <c r="C31" s="26" t="n">
        <v>1</v>
      </c>
      <c r="D31" s="24" t="s">
        <v>62</v>
      </c>
      <c r="E31" s="27" t="n">
        <v>25</v>
      </c>
      <c r="F31" s="28" t="n">
        <v>1</v>
      </c>
      <c r="G31" s="24" t="s">
        <v>128</v>
      </c>
      <c r="H31" s="29" t="n">
        <f aca="false">C31*E31</f>
        <v>25</v>
      </c>
      <c r="I31" s="30" t="n">
        <f aca="false">C31*F31</f>
        <v>1</v>
      </c>
      <c r="J31" s="25" t="s">
        <v>129</v>
      </c>
    </row>
    <row r="32" customFormat="false" ht="24" hidden="false" customHeight="true" outlineLevel="0" collapsed="false">
      <c r="A32" s="31" t="s">
        <v>130</v>
      </c>
      <c r="B32" s="32" t="s">
        <v>131</v>
      </c>
      <c r="C32" s="33" t="n">
        <v>114.83</v>
      </c>
      <c r="D32" s="31" t="s">
        <v>132</v>
      </c>
      <c r="E32" s="34" t="n">
        <v>6.82</v>
      </c>
      <c r="F32" s="35" t="n">
        <v>0.135</v>
      </c>
      <c r="G32" s="31" t="s">
        <v>128</v>
      </c>
      <c r="H32" s="36" t="n">
        <f aca="false">C32*E32</f>
        <v>783.1406</v>
      </c>
      <c r="I32" s="37" t="n">
        <f aca="false">C32*F32</f>
        <v>15.50205</v>
      </c>
      <c r="J32" s="32" t="s">
        <v>133</v>
      </c>
    </row>
    <row r="33" customFormat="false" ht="24" hidden="false" customHeight="true" outlineLevel="0" collapsed="false">
      <c r="A33" s="24" t="s">
        <v>134</v>
      </c>
      <c r="B33" s="25" t="s">
        <v>135</v>
      </c>
      <c r="C33" s="26" t="n">
        <v>1</v>
      </c>
      <c r="D33" s="24" t="s">
        <v>62</v>
      </c>
      <c r="E33" s="27" t="n">
        <v>25</v>
      </c>
      <c r="F33" s="28" t="n">
        <v>0.5</v>
      </c>
      <c r="G33" s="24" t="s">
        <v>128</v>
      </c>
      <c r="H33" s="29" t="n">
        <f aca="false">C33*E33</f>
        <v>25</v>
      </c>
      <c r="I33" s="30" t="n">
        <f aca="false">C33*F33</f>
        <v>0.5</v>
      </c>
      <c r="J33" s="25" t="s">
        <v>136</v>
      </c>
    </row>
    <row r="34" customFormat="false" ht="24" hidden="false" customHeight="true" outlineLevel="0" collapsed="false">
      <c r="A34" s="31" t="s">
        <v>137</v>
      </c>
      <c r="B34" s="32" t="s">
        <v>138</v>
      </c>
      <c r="C34" s="33" t="n">
        <v>2</v>
      </c>
      <c r="D34" s="31" t="s">
        <v>62</v>
      </c>
      <c r="E34" s="34" t="n">
        <v>15</v>
      </c>
      <c r="F34" s="35" t="n">
        <v>0.5</v>
      </c>
      <c r="G34" s="31" t="s">
        <v>128</v>
      </c>
      <c r="H34" s="36" t="n">
        <f aca="false">C34*E34</f>
        <v>30</v>
      </c>
      <c r="I34" s="37" t="n">
        <f aca="false">C34*F34</f>
        <v>1</v>
      </c>
      <c r="J34" s="32" t="s">
        <v>139</v>
      </c>
    </row>
    <row r="35" customFormat="false" ht="24" hidden="false" customHeight="true" outlineLevel="0" collapsed="false">
      <c r="A35" s="24" t="s">
        <v>140</v>
      </c>
      <c r="B35" s="25" t="s">
        <v>141</v>
      </c>
      <c r="C35" s="26" t="n">
        <v>3</v>
      </c>
      <c r="D35" s="24" t="s">
        <v>62</v>
      </c>
      <c r="E35" s="27" t="n">
        <v>15</v>
      </c>
      <c r="F35" s="28" t="n">
        <v>0.35</v>
      </c>
      <c r="G35" s="24" t="s">
        <v>128</v>
      </c>
      <c r="H35" s="29" t="n">
        <f aca="false">C35*E35</f>
        <v>45</v>
      </c>
      <c r="I35" s="30" t="n">
        <f aca="false">C35*F35</f>
        <v>1.05</v>
      </c>
      <c r="J35" s="25" t="s">
        <v>142</v>
      </c>
    </row>
    <row r="36" customFormat="false" ht="24" hidden="false" customHeight="true" outlineLevel="0" collapsed="false">
      <c r="A36" s="31" t="s">
        <v>143</v>
      </c>
      <c r="B36" s="32" t="s">
        <v>144</v>
      </c>
      <c r="C36" s="33" t="n">
        <v>3</v>
      </c>
      <c r="D36" s="31" t="s">
        <v>62</v>
      </c>
      <c r="E36" s="34" t="n">
        <v>133.49</v>
      </c>
      <c r="F36" s="35" t="n">
        <v>1</v>
      </c>
      <c r="G36" s="31" t="s">
        <v>128</v>
      </c>
      <c r="H36" s="36" t="n">
        <f aca="false">C36*E36</f>
        <v>400.47</v>
      </c>
      <c r="I36" s="37" t="n">
        <f aca="false">C36*F36</f>
        <v>3</v>
      </c>
      <c r="J36" s="32" t="s">
        <v>145</v>
      </c>
    </row>
    <row r="37" customFormat="false" ht="24" hidden="false" customHeight="true" outlineLevel="0" collapsed="false">
      <c r="A37" s="24" t="s">
        <v>146</v>
      </c>
      <c r="B37" s="25" t="s">
        <v>147</v>
      </c>
      <c r="C37" s="26" t="n">
        <v>262.47</v>
      </c>
      <c r="D37" s="24" t="s">
        <v>132</v>
      </c>
      <c r="E37" s="27" t="n">
        <v>2.3</v>
      </c>
      <c r="F37" s="28" t="n">
        <v>0.071</v>
      </c>
      <c r="G37" s="24" t="s">
        <v>128</v>
      </c>
      <c r="H37" s="29" t="n">
        <f aca="false">C37*E37</f>
        <v>603.681</v>
      </c>
      <c r="I37" s="30" t="n">
        <f aca="false">C37*F37</f>
        <v>18.63537</v>
      </c>
      <c r="J37" s="25" t="s">
        <v>148</v>
      </c>
    </row>
    <row r="38" customFormat="false" ht="24" hidden="false" customHeight="true" outlineLevel="0" collapsed="false">
      <c r="A38" s="31" t="s">
        <v>149</v>
      </c>
      <c r="B38" s="32" t="s">
        <v>150</v>
      </c>
      <c r="C38" s="33" t="n">
        <v>7</v>
      </c>
      <c r="D38" s="31" t="s">
        <v>62</v>
      </c>
      <c r="E38" s="34" t="n">
        <v>40</v>
      </c>
      <c r="F38" s="35" t="n">
        <v>0.25</v>
      </c>
      <c r="G38" s="31" t="s">
        <v>128</v>
      </c>
      <c r="H38" s="36" t="n">
        <f aca="false">C38*E38</f>
        <v>280</v>
      </c>
      <c r="I38" s="37" t="n">
        <f aca="false">C38*F38</f>
        <v>1.75</v>
      </c>
      <c r="J38" s="32" t="s">
        <v>151</v>
      </c>
    </row>
    <row r="39" customFormat="false" ht="15" hidden="false" customHeight="false" outlineLevel="0" collapsed="false">
      <c r="A39" s="40"/>
      <c r="B39" s="40" t="s">
        <v>152</v>
      </c>
      <c r="C39" s="40"/>
      <c r="D39" s="40"/>
      <c r="E39" s="40"/>
      <c r="F39" s="40"/>
      <c r="G39" s="40"/>
      <c r="H39" s="41" t="n">
        <f aca="false">SUM(H31:H38)</f>
        <v>2192.2916</v>
      </c>
      <c r="I39" s="42" t="n">
        <f aca="false">SUM(I31:I38)</f>
        <v>42.43742</v>
      </c>
      <c r="J39" s="40"/>
    </row>
    <row r="41" customFormat="false" ht="15" hidden="false" customHeight="false" outlineLevel="0" collapsed="false">
      <c r="A41" s="23" t="s">
        <v>153</v>
      </c>
      <c r="B41" s="23"/>
      <c r="C41" s="23"/>
      <c r="D41" s="23"/>
      <c r="E41" s="23"/>
      <c r="F41" s="23"/>
      <c r="G41" s="23"/>
      <c r="H41" s="23"/>
      <c r="I41" s="23"/>
      <c r="J41" s="23"/>
    </row>
    <row r="42" customFormat="false" ht="36" hidden="false" customHeight="true" outlineLevel="0" collapsed="false">
      <c r="A42" s="24" t="s">
        <v>154</v>
      </c>
      <c r="B42" s="25" t="s">
        <v>155</v>
      </c>
      <c r="C42" s="26" t="n">
        <v>18</v>
      </c>
      <c r="D42" s="24" t="s">
        <v>156</v>
      </c>
      <c r="E42" s="27" t="n">
        <v>156.39</v>
      </c>
      <c r="F42" s="28" t="n">
        <v>3.53</v>
      </c>
      <c r="G42" s="24" t="s">
        <v>157</v>
      </c>
      <c r="H42" s="29" t="n">
        <f aca="false">C42*E42</f>
        <v>2815.02</v>
      </c>
      <c r="I42" s="30" t="n">
        <f aca="false">C42*F42</f>
        <v>63.54</v>
      </c>
      <c r="J42" s="25" t="s">
        <v>158</v>
      </c>
    </row>
    <row r="43" customFormat="false" ht="36" hidden="false" customHeight="true" outlineLevel="0" collapsed="false">
      <c r="A43" s="31" t="s">
        <v>159</v>
      </c>
      <c r="B43" s="32" t="s">
        <v>160</v>
      </c>
      <c r="C43" s="33" t="n">
        <v>5</v>
      </c>
      <c r="D43" s="31" t="s">
        <v>62</v>
      </c>
      <c r="E43" s="34" t="n">
        <v>439.42</v>
      </c>
      <c r="F43" s="35" t="n">
        <v>6.85</v>
      </c>
      <c r="G43" s="31" t="s">
        <v>161</v>
      </c>
      <c r="H43" s="36" t="n">
        <f aca="false">C43*E43</f>
        <v>2197.1</v>
      </c>
      <c r="I43" s="37" t="n">
        <f aca="false">C43*F43</f>
        <v>34.25</v>
      </c>
      <c r="J43" s="32" t="s">
        <v>162</v>
      </c>
    </row>
    <row r="44" customFormat="false" ht="24" hidden="false" customHeight="true" outlineLevel="0" collapsed="false">
      <c r="A44" s="24" t="s">
        <v>163</v>
      </c>
      <c r="B44" s="25" t="s">
        <v>164</v>
      </c>
      <c r="C44" s="26" t="n">
        <v>2</v>
      </c>
      <c r="D44" s="24" t="s">
        <v>62</v>
      </c>
      <c r="E44" s="27" t="n">
        <v>64.81</v>
      </c>
      <c r="F44" s="28" t="n">
        <v>1.175</v>
      </c>
      <c r="G44" s="24" t="s">
        <v>157</v>
      </c>
      <c r="H44" s="29" t="n">
        <f aca="false">C44*E44</f>
        <v>129.62</v>
      </c>
      <c r="I44" s="30" t="n">
        <f aca="false">C44*F44</f>
        <v>2.35</v>
      </c>
      <c r="J44" s="25" t="s">
        <v>165</v>
      </c>
    </row>
    <row r="45" customFormat="false" ht="24" hidden="false" customHeight="true" outlineLevel="0" collapsed="false">
      <c r="A45" s="31" t="s">
        <v>166</v>
      </c>
      <c r="B45" s="32" t="s">
        <v>167</v>
      </c>
      <c r="C45" s="33" t="n">
        <v>2</v>
      </c>
      <c r="D45" s="31" t="s">
        <v>62</v>
      </c>
      <c r="E45" s="34" t="n">
        <v>78.77</v>
      </c>
      <c r="F45" s="35" t="n">
        <v>1.805</v>
      </c>
      <c r="G45" s="31" t="s">
        <v>157</v>
      </c>
      <c r="H45" s="36" t="n">
        <f aca="false">C45*E45</f>
        <v>157.54</v>
      </c>
      <c r="I45" s="37" t="n">
        <f aca="false">C45*F45</f>
        <v>3.61</v>
      </c>
      <c r="J45" s="32" t="s">
        <v>168</v>
      </c>
    </row>
    <row r="46" customFormat="false" ht="24" hidden="false" customHeight="true" outlineLevel="0" collapsed="false">
      <c r="A46" s="24" t="s">
        <v>169</v>
      </c>
      <c r="B46" s="25" t="s">
        <v>170</v>
      </c>
      <c r="C46" s="26" t="n">
        <v>1</v>
      </c>
      <c r="D46" s="24" t="s">
        <v>62</v>
      </c>
      <c r="E46" s="27" t="n">
        <v>78.77</v>
      </c>
      <c r="F46" s="28" t="n">
        <v>1.805</v>
      </c>
      <c r="G46" s="24" t="s">
        <v>157</v>
      </c>
      <c r="H46" s="29" t="n">
        <f aca="false">C46*E46</f>
        <v>78.77</v>
      </c>
      <c r="I46" s="30" t="n">
        <f aca="false">C46*F46</f>
        <v>1.805</v>
      </c>
      <c r="J46" s="25" t="s">
        <v>168</v>
      </c>
    </row>
    <row r="47" customFormat="false" ht="24" hidden="false" customHeight="true" outlineLevel="0" collapsed="false">
      <c r="A47" s="31" t="s">
        <v>171</v>
      </c>
      <c r="B47" s="32" t="s">
        <v>172</v>
      </c>
      <c r="C47" s="33" t="n">
        <v>8</v>
      </c>
      <c r="D47" s="31" t="s">
        <v>62</v>
      </c>
      <c r="E47" s="34" t="n">
        <v>64.81</v>
      </c>
      <c r="F47" s="35" t="n">
        <v>1.175</v>
      </c>
      <c r="G47" s="31" t="s">
        <v>157</v>
      </c>
      <c r="H47" s="36" t="n">
        <f aca="false">C47*E47</f>
        <v>518.48</v>
      </c>
      <c r="I47" s="37" t="n">
        <f aca="false">C47*F47</f>
        <v>9.4</v>
      </c>
      <c r="J47" s="32" t="s">
        <v>165</v>
      </c>
    </row>
    <row r="48" customFormat="false" ht="24" hidden="false" customHeight="true" outlineLevel="0" collapsed="false">
      <c r="A48" s="24" t="s">
        <v>173</v>
      </c>
      <c r="B48" s="25" t="s">
        <v>174</v>
      </c>
      <c r="C48" s="26" t="n">
        <v>22</v>
      </c>
      <c r="D48" s="24" t="s">
        <v>62</v>
      </c>
      <c r="E48" s="27" t="n">
        <v>76.81</v>
      </c>
      <c r="F48" s="28" t="n">
        <v>1.175</v>
      </c>
      <c r="G48" s="24" t="s">
        <v>175</v>
      </c>
      <c r="H48" s="29" t="n">
        <f aca="false">C48*E48</f>
        <v>1689.82</v>
      </c>
      <c r="I48" s="30" t="n">
        <f aca="false">C48*F48</f>
        <v>25.85</v>
      </c>
      <c r="J48" s="25" t="s">
        <v>176</v>
      </c>
    </row>
    <row r="49" customFormat="false" ht="24" hidden="false" customHeight="true" outlineLevel="0" collapsed="false">
      <c r="A49" s="31" t="s">
        <v>177</v>
      </c>
      <c r="B49" s="32" t="s">
        <v>178</v>
      </c>
      <c r="C49" s="33" t="n">
        <v>1</v>
      </c>
      <c r="D49" s="31" t="s">
        <v>62</v>
      </c>
      <c r="E49" s="34" t="n">
        <v>65.38</v>
      </c>
      <c r="F49" s="35" t="n">
        <v>1.3</v>
      </c>
      <c r="G49" s="31" t="s">
        <v>179</v>
      </c>
      <c r="H49" s="36" t="n">
        <f aca="false">C49*E49</f>
        <v>65.38</v>
      </c>
      <c r="I49" s="37" t="n">
        <f aca="false">C49*F49</f>
        <v>1.3</v>
      </c>
      <c r="J49" s="32" t="s">
        <v>180</v>
      </c>
    </row>
    <row r="50" customFormat="false" ht="36" hidden="false" customHeight="true" outlineLevel="0" collapsed="false">
      <c r="A50" s="24" t="s">
        <v>181</v>
      </c>
      <c r="B50" s="25" t="s">
        <v>182</v>
      </c>
      <c r="C50" s="26" t="n">
        <v>41</v>
      </c>
      <c r="D50" s="24" t="s">
        <v>62</v>
      </c>
      <c r="E50" s="27" t="n">
        <v>22.32</v>
      </c>
      <c r="F50" s="28" t="n">
        <v>0.89</v>
      </c>
      <c r="G50" s="24" t="s">
        <v>183</v>
      </c>
      <c r="H50" s="29" t="n">
        <f aca="false">C50*E50</f>
        <v>915.12</v>
      </c>
      <c r="I50" s="30" t="n">
        <f aca="false">C50*F50</f>
        <v>36.49</v>
      </c>
      <c r="J50" s="25" t="s">
        <v>184</v>
      </c>
    </row>
    <row r="51" customFormat="false" ht="24" hidden="false" customHeight="true" outlineLevel="0" collapsed="false">
      <c r="A51" s="31" t="s">
        <v>185</v>
      </c>
      <c r="B51" s="32" t="s">
        <v>186</v>
      </c>
      <c r="C51" s="33" t="n">
        <v>1</v>
      </c>
      <c r="D51" s="31" t="s">
        <v>82</v>
      </c>
      <c r="E51" s="38" t="n">
        <v>60</v>
      </c>
      <c r="F51" s="39" t="n">
        <v>4</v>
      </c>
      <c r="G51" s="31" t="s">
        <v>187</v>
      </c>
      <c r="H51" s="36" t="n">
        <f aca="false">C51*E51</f>
        <v>60</v>
      </c>
      <c r="I51" s="37" t="n">
        <f aca="false">C51*F51</f>
        <v>4</v>
      </c>
      <c r="J51" s="32" t="s">
        <v>188</v>
      </c>
    </row>
    <row r="52" customFormat="false" ht="24" hidden="false" customHeight="true" outlineLevel="0" collapsed="false">
      <c r="A52" s="24" t="s">
        <v>189</v>
      </c>
      <c r="B52" s="25" t="s">
        <v>190</v>
      </c>
      <c r="C52" s="26" t="n">
        <v>1</v>
      </c>
      <c r="D52" s="24" t="s">
        <v>62</v>
      </c>
      <c r="E52" s="27" t="n">
        <v>17.43</v>
      </c>
      <c r="F52" s="28" t="n">
        <v>1</v>
      </c>
      <c r="G52" s="24" t="s">
        <v>187</v>
      </c>
      <c r="H52" s="29" t="n">
        <f aca="false">C52*E52</f>
        <v>17.43</v>
      </c>
      <c r="I52" s="30" t="n">
        <f aca="false">C52*F52</f>
        <v>1</v>
      </c>
      <c r="J52" s="25" t="s">
        <v>191</v>
      </c>
    </row>
    <row r="53" customFormat="false" ht="24" hidden="false" customHeight="true" outlineLevel="0" collapsed="false">
      <c r="A53" s="31" t="s">
        <v>192</v>
      </c>
      <c r="B53" s="32" t="s">
        <v>193</v>
      </c>
      <c r="C53" s="33" t="n">
        <v>4</v>
      </c>
      <c r="D53" s="31" t="s">
        <v>62</v>
      </c>
      <c r="E53" s="34" t="n">
        <v>15</v>
      </c>
      <c r="F53" s="35" t="n">
        <v>0.5</v>
      </c>
      <c r="G53" s="31" t="s">
        <v>187</v>
      </c>
      <c r="H53" s="36" t="n">
        <f aca="false">C53*E53</f>
        <v>60</v>
      </c>
      <c r="I53" s="37" t="n">
        <f aca="false">C53*F53</f>
        <v>2</v>
      </c>
      <c r="J53" s="32" t="s">
        <v>194</v>
      </c>
    </row>
    <row r="54" customFormat="false" ht="24" hidden="false" customHeight="true" outlineLevel="0" collapsed="false">
      <c r="A54" s="24" t="s">
        <v>195</v>
      </c>
      <c r="B54" s="25" t="s">
        <v>196</v>
      </c>
      <c r="C54" s="26" t="n">
        <v>7</v>
      </c>
      <c r="D54" s="24" t="s">
        <v>62</v>
      </c>
      <c r="E54" s="27" t="n">
        <v>30</v>
      </c>
      <c r="F54" s="28" t="n">
        <v>1</v>
      </c>
      <c r="G54" s="24" t="s">
        <v>187</v>
      </c>
      <c r="H54" s="29" t="n">
        <f aca="false">C54*E54</f>
        <v>210</v>
      </c>
      <c r="I54" s="30" t="n">
        <f aca="false">C54*F54</f>
        <v>7</v>
      </c>
      <c r="J54" s="25" t="s">
        <v>197</v>
      </c>
    </row>
    <row r="55" customFormat="false" ht="24" hidden="false" customHeight="true" outlineLevel="0" collapsed="false">
      <c r="A55" s="31" t="s">
        <v>198</v>
      </c>
      <c r="B55" s="32" t="s">
        <v>199</v>
      </c>
      <c r="C55" s="33" t="n">
        <v>6</v>
      </c>
      <c r="D55" s="31" t="s">
        <v>62</v>
      </c>
      <c r="E55" s="34" t="n">
        <v>35</v>
      </c>
      <c r="F55" s="35" t="n">
        <v>0.4</v>
      </c>
      <c r="G55" s="31" t="s">
        <v>187</v>
      </c>
      <c r="H55" s="36" t="n">
        <f aca="false">C55*E55</f>
        <v>210</v>
      </c>
      <c r="I55" s="37" t="n">
        <f aca="false">C55*F55</f>
        <v>2.4</v>
      </c>
      <c r="J55" s="32" t="s">
        <v>200</v>
      </c>
    </row>
    <row r="56" customFormat="false" ht="24" hidden="false" customHeight="true" outlineLevel="0" collapsed="false">
      <c r="A56" s="24" t="s">
        <v>201</v>
      </c>
      <c r="B56" s="25" t="s">
        <v>202</v>
      </c>
      <c r="C56" s="26" t="n">
        <v>4</v>
      </c>
      <c r="D56" s="24" t="s">
        <v>62</v>
      </c>
      <c r="E56" s="27" t="n">
        <v>15</v>
      </c>
      <c r="F56" s="28" t="n">
        <v>0.5</v>
      </c>
      <c r="G56" s="24" t="s">
        <v>183</v>
      </c>
      <c r="H56" s="29" t="n">
        <f aca="false">C56*E56</f>
        <v>60</v>
      </c>
      <c r="I56" s="30" t="n">
        <f aca="false">C56*F56</f>
        <v>2</v>
      </c>
      <c r="J56" s="25" t="s">
        <v>203</v>
      </c>
    </row>
    <row r="57" customFormat="false" ht="24" hidden="false" customHeight="true" outlineLevel="0" collapsed="false">
      <c r="A57" s="31" t="s">
        <v>204</v>
      </c>
      <c r="B57" s="32" t="s">
        <v>205</v>
      </c>
      <c r="C57" s="33" t="n">
        <v>23</v>
      </c>
      <c r="D57" s="31" t="s">
        <v>62</v>
      </c>
      <c r="E57" s="34" t="n">
        <v>150</v>
      </c>
      <c r="F57" s="35" t="n">
        <v>1</v>
      </c>
      <c r="G57" s="31" t="s">
        <v>187</v>
      </c>
      <c r="H57" s="36" t="n">
        <f aca="false">C57*E57</f>
        <v>3450</v>
      </c>
      <c r="I57" s="37" t="n">
        <f aca="false">C57*F57</f>
        <v>23</v>
      </c>
      <c r="J57" s="32" t="s">
        <v>206</v>
      </c>
    </row>
    <row r="58" customFormat="false" ht="24" hidden="false" customHeight="true" outlineLevel="0" collapsed="false">
      <c r="A58" s="24" t="s">
        <v>207</v>
      </c>
      <c r="B58" s="25" t="s">
        <v>208</v>
      </c>
      <c r="C58" s="26" t="n">
        <v>8</v>
      </c>
      <c r="D58" s="24" t="s">
        <v>62</v>
      </c>
      <c r="E58" s="27" t="n">
        <v>26.22</v>
      </c>
      <c r="F58" s="28" t="n">
        <v>0.25</v>
      </c>
      <c r="G58" s="24" t="s">
        <v>187</v>
      </c>
      <c r="H58" s="29" t="n">
        <f aca="false">C58*E58</f>
        <v>209.76</v>
      </c>
      <c r="I58" s="30" t="n">
        <f aca="false">C58*F58</f>
        <v>2</v>
      </c>
      <c r="J58" s="25" t="s">
        <v>209</v>
      </c>
    </row>
    <row r="59" customFormat="false" ht="24" hidden="false" customHeight="true" outlineLevel="0" collapsed="false">
      <c r="A59" s="31" t="s">
        <v>210</v>
      </c>
      <c r="B59" s="32" t="s">
        <v>211</v>
      </c>
      <c r="C59" s="33" t="n">
        <v>2148.95</v>
      </c>
      <c r="D59" s="31" t="s">
        <v>132</v>
      </c>
      <c r="E59" s="34" t="n">
        <v>3.49</v>
      </c>
      <c r="F59" s="35" t="n">
        <v>0.091</v>
      </c>
      <c r="G59" s="31" t="s">
        <v>187</v>
      </c>
      <c r="H59" s="36" t="n">
        <f aca="false">C59*E59</f>
        <v>7499.8355</v>
      </c>
      <c r="I59" s="37" t="n">
        <f aca="false">C59*F59</f>
        <v>195.55445</v>
      </c>
      <c r="J59" s="32" t="s">
        <v>212</v>
      </c>
    </row>
    <row r="60" customFormat="false" ht="24" hidden="false" customHeight="true" outlineLevel="0" collapsed="false">
      <c r="A60" s="24" t="s">
        <v>213</v>
      </c>
      <c r="B60" s="25" t="s">
        <v>214</v>
      </c>
      <c r="C60" s="26" t="n">
        <v>1656.82</v>
      </c>
      <c r="D60" s="24" t="s">
        <v>132</v>
      </c>
      <c r="E60" s="27" t="n">
        <v>1.4</v>
      </c>
      <c r="F60" s="28" t="n">
        <v>0.056</v>
      </c>
      <c r="G60" s="24" t="s">
        <v>183</v>
      </c>
      <c r="H60" s="29" t="n">
        <f aca="false">C60*E60</f>
        <v>2319.548</v>
      </c>
      <c r="I60" s="30" t="n">
        <f aca="false">C60*F60</f>
        <v>92.78192</v>
      </c>
      <c r="J60" s="25" t="s">
        <v>215</v>
      </c>
    </row>
    <row r="61" customFormat="false" ht="24" hidden="false" customHeight="true" outlineLevel="0" collapsed="false">
      <c r="A61" s="31" t="s">
        <v>216</v>
      </c>
      <c r="B61" s="32" t="s">
        <v>217</v>
      </c>
      <c r="C61" s="33" t="n">
        <v>23</v>
      </c>
      <c r="D61" s="31" t="s">
        <v>62</v>
      </c>
      <c r="E61" s="34" t="n">
        <v>9.26</v>
      </c>
      <c r="F61" s="35" t="n">
        <v>0.25</v>
      </c>
      <c r="G61" s="31" t="s">
        <v>187</v>
      </c>
      <c r="H61" s="36" t="n">
        <f aca="false">C61*E61</f>
        <v>212.98</v>
      </c>
      <c r="I61" s="37" t="n">
        <f aca="false">C61*F61</f>
        <v>5.75</v>
      </c>
      <c r="J61" s="32" t="s">
        <v>218</v>
      </c>
    </row>
    <row r="62" customFormat="false" ht="24" hidden="false" customHeight="true" outlineLevel="0" collapsed="false">
      <c r="A62" s="24" t="s">
        <v>219</v>
      </c>
      <c r="B62" s="25" t="s">
        <v>220</v>
      </c>
      <c r="C62" s="26" t="n">
        <v>1</v>
      </c>
      <c r="D62" s="24" t="s">
        <v>82</v>
      </c>
      <c r="E62" s="27" t="n">
        <v>1250</v>
      </c>
      <c r="F62" s="28" t="n">
        <v>2</v>
      </c>
      <c r="G62" s="24" t="s">
        <v>221</v>
      </c>
      <c r="H62" s="29" t="n">
        <f aca="false">C62*E62</f>
        <v>1250</v>
      </c>
      <c r="I62" s="30" t="n">
        <f aca="false">C62*F62</f>
        <v>2</v>
      </c>
      <c r="J62" s="25" t="s">
        <v>222</v>
      </c>
    </row>
    <row r="63" customFormat="false" ht="24" hidden="false" customHeight="true" outlineLevel="0" collapsed="false">
      <c r="A63" s="31" t="s">
        <v>223</v>
      </c>
      <c r="B63" s="32" t="s">
        <v>224</v>
      </c>
      <c r="C63" s="33" t="n">
        <v>2</v>
      </c>
      <c r="D63" s="31" t="s">
        <v>62</v>
      </c>
      <c r="E63" s="34" t="n">
        <v>1461.22</v>
      </c>
      <c r="F63" s="35" t="n">
        <v>1</v>
      </c>
      <c r="G63" s="31" t="s">
        <v>225</v>
      </c>
      <c r="H63" s="36" t="n">
        <f aca="false">C63*E63</f>
        <v>2922.44</v>
      </c>
      <c r="I63" s="37" t="n">
        <f aca="false">C63*F63</f>
        <v>2</v>
      </c>
      <c r="J63" s="32" t="s">
        <v>226</v>
      </c>
    </row>
    <row r="64" customFormat="false" ht="24" hidden="false" customHeight="true" outlineLevel="0" collapsed="false">
      <c r="A64" s="24" t="s">
        <v>227</v>
      </c>
      <c r="B64" s="25" t="s">
        <v>228</v>
      </c>
      <c r="C64" s="26" t="n">
        <v>2</v>
      </c>
      <c r="D64" s="24" t="s">
        <v>62</v>
      </c>
      <c r="E64" s="27" t="n">
        <v>250</v>
      </c>
      <c r="F64" s="28" t="n">
        <v>1</v>
      </c>
      <c r="G64" s="24" t="s">
        <v>225</v>
      </c>
      <c r="H64" s="29" t="n">
        <f aca="false">C64*E64</f>
        <v>500</v>
      </c>
      <c r="I64" s="30" t="n">
        <f aca="false">C64*F64</f>
        <v>2</v>
      </c>
      <c r="J64" s="25" t="s">
        <v>229</v>
      </c>
    </row>
    <row r="65" customFormat="false" ht="24" hidden="false" customHeight="true" outlineLevel="0" collapsed="false">
      <c r="A65" s="31" t="s">
        <v>230</v>
      </c>
      <c r="B65" s="32" t="s">
        <v>231</v>
      </c>
      <c r="C65" s="33" t="n">
        <v>3</v>
      </c>
      <c r="D65" s="31" t="s">
        <v>62</v>
      </c>
      <c r="E65" s="34" t="n">
        <v>64.81</v>
      </c>
      <c r="F65" s="35" t="n">
        <v>1.175</v>
      </c>
      <c r="G65" s="31" t="s">
        <v>157</v>
      </c>
      <c r="H65" s="36" t="n">
        <f aca="false">C65*E65</f>
        <v>194.43</v>
      </c>
      <c r="I65" s="37" t="n">
        <f aca="false">C65*F65</f>
        <v>3.525</v>
      </c>
      <c r="J65" s="32" t="s">
        <v>165</v>
      </c>
    </row>
    <row r="66" customFormat="false" ht="24" hidden="false" customHeight="true" outlineLevel="0" collapsed="false">
      <c r="A66" s="24" t="s">
        <v>232</v>
      </c>
      <c r="B66" s="25" t="s">
        <v>233</v>
      </c>
      <c r="C66" s="26" t="n">
        <v>2</v>
      </c>
      <c r="D66" s="24" t="s">
        <v>156</v>
      </c>
      <c r="E66" s="27" t="n">
        <v>143.58</v>
      </c>
      <c r="F66" s="28" t="n">
        <v>2.98</v>
      </c>
      <c r="G66" s="24" t="s">
        <v>157</v>
      </c>
      <c r="H66" s="29" t="n">
        <f aca="false">C66*E66</f>
        <v>287.16</v>
      </c>
      <c r="I66" s="30" t="n">
        <f aca="false">C66*F66</f>
        <v>5.96</v>
      </c>
      <c r="J66" s="25" t="s">
        <v>168</v>
      </c>
    </row>
    <row r="67" customFormat="false" ht="24" hidden="false" customHeight="true" outlineLevel="0" collapsed="false">
      <c r="A67" s="31" t="s">
        <v>234</v>
      </c>
      <c r="B67" s="32" t="s">
        <v>235</v>
      </c>
      <c r="C67" s="33" t="n">
        <v>1</v>
      </c>
      <c r="D67" s="31" t="s">
        <v>62</v>
      </c>
      <c r="E67" s="34" t="n">
        <v>78.77</v>
      </c>
      <c r="F67" s="35" t="n">
        <v>1.805</v>
      </c>
      <c r="G67" s="31" t="s">
        <v>157</v>
      </c>
      <c r="H67" s="36" t="n">
        <f aca="false">C67*E67</f>
        <v>78.77</v>
      </c>
      <c r="I67" s="37" t="n">
        <f aca="false">C67*F67</f>
        <v>1.805</v>
      </c>
      <c r="J67" s="32" t="s">
        <v>168</v>
      </c>
    </row>
    <row r="68" customFormat="false" ht="15" hidden="false" customHeight="false" outlineLevel="0" collapsed="false">
      <c r="A68" s="40"/>
      <c r="B68" s="40" t="s">
        <v>236</v>
      </c>
      <c r="C68" s="40"/>
      <c r="D68" s="40"/>
      <c r="E68" s="40"/>
      <c r="F68" s="40"/>
      <c r="G68" s="40"/>
      <c r="H68" s="41" t="n">
        <f aca="false">SUM(H42:H67)</f>
        <v>28109.2035</v>
      </c>
      <c r="I68" s="42" t="n">
        <f aca="false">SUM(I42:I67)</f>
        <v>533.37137</v>
      </c>
      <c r="J68" s="40"/>
    </row>
    <row r="70" customFormat="false" ht="15" hidden="false" customHeight="false" outlineLevel="0" collapsed="false">
      <c r="A70" s="23" t="s">
        <v>237</v>
      </c>
      <c r="B70" s="23"/>
      <c r="C70" s="23"/>
      <c r="D70" s="23"/>
      <c r="E70" s="23"/>
      <c r="F70" s="23"/>
      <c r="G70" s="23"/>
      <c r="H70" s="23"/>
      <c r="I70" s="23"/>
      <c r="J70" s="23"/>
    </row>
    <row r="71" customFormat="false" ht="24" hidden="false" customHeight="true" outlineLevel="0" collapsed="false">
      <c r="A71" s="24" t="s">
        <v>238</v>
      </c>
      <c r="B71" s="25" t="s">
        <v>239</v>
      </c>
      <c r="C71" s="26" t="n">
        <v>11</v>
      </c>
      <c r="D71" s="24" t="s">
        <v>62</v>
      </c>
      <c r="E71" s="27" t="n">
        <v>0</v>
      </c>
      <c r="F71" s="28" t="n">
        <v>0.75</v>
      </c>
      <c r="G71" s="24" t="s">
        <v>240</v>
      </c>
      <c r="H71" s="29" t="n">
        <f aca="false">C71*E71</f>
        <v>0</v>
      </c>
      <c r="I71" s="30" t="n">
        <f aca="false">C71*F71</f>
        <v>8.25</v>
      </c>
      <c r="J71" s="25" t="s">
        <v>241</v>
      </c>
    </row>
    <row r="72" customFormat="false" ht="24" hidden="false" customHeight="true" outlineLevel="0" collapsed="false">
      <c r="A72" s="31" t="s">
        <v>242</v>
      </c>
      <c r="B72" s="32" t="s">
        <v>243</v>
      </c>
      <c r="C72" s="33" t="n">
        <v>33</v>
      </c>
      <c r="D72" s="31" t="s">
        <v>62</v>
      </c>
      <c r="E72" s="34" t="n">
        <v>0</v>
      </c>
      <c r="F72" s="35" t="n">
        <v>0.75</v>
      </c>
      <c r="G72" s="31" t="s">
        <v>240</v>
      </c>
      <c r="H72" s="36" t="n">
        <f aca="false">C72*E72</f>
        <v>0</v>
      </c>
      <c r="I72" s="37" t="n">
        <f aca="false">C72*F72</f>
        <v>24.75</v>
      </c>
      <c r="J72" s="32" t="s">
        <v>244</v>
      </c>
    </row>
    <row r="73" customFormat="false" ht="36" hidden="false" customHeight="true" outlineLevel="0" collapsed="false">
      <c r="A73" s="24" t="s">
        <v>245</v>
      </c>
      <c r="B73" s="25" t="s">
        <v>246</v>
      </c>
      <c r="C73" s="26" t="n">
        <v>20</v>
      </c>
      <c r="D73" s="24" t="s">
        <v>247</v>
      </c>
      <c r="E73" s="27" t="n">
        <v>50</v>
      </c>
      <c r="F73" s="28" t="n">
        <v>1</v>
      </c>
      <c r="G73" s="24" t="s">
        <v>240</v>
      </c>
      <c r="H73" s="29" t="n">
        <f aca="false">C73*E73</f>
        <v>1000</v>
      </c>
      <c r="I73" s="30" t="n">
        <f aca="false">C73*F73</f>
        <v>20</v>
      </c>
      <c r="J73" s="25" t="s">
        <v>248</v>
      </c>
    </row>
    <row r="74" customFormat="false" ht="24" hidden="false" customHeight="true" outlineLevel="0" collapsed="false">
      <c r="A74" s="31" t="s">
        <v>249</v>
      </c>
      <c r="B74" s="32" t="s">
        <v>250</v>
      </c>
      <c r="C74" s="33" t="n">
        <v>3</v>
      </c>
      <c r="D74" s="31" t="s">
        <v>62</v>
      </c>
      <c r="E74" s="34" t="n">
        <v>0</v>
      </c>
      <c r="F74" s="35" t="n">
        <v>0.75</v>
      </c>
      <c r="G74" s="31" t="s">
        <v>240</v>
      </c>
      <c r="H74" s="36" t="n">
        <f aca="false">C74*E74</f>
        <v>0</v>
      </c>
      <c r="I74" s="37" t="n">
        <f aca="false">C74*F74</f>
        <v>2.25</v>
      </c>
      <c r="J74" s="32" t="s">
        <v>251</v>
      </c>
    </row>
    <row r="75" customFormat="false" ht="24" hidden="false" customHeight="true" outlineLevel="0" collapsed="false">
      <c r="A75" s="24" t="s">
        <v>252</v>
      </c>
      <c r="B75" s="25" t="s">
        <v>253</v>
      </c>
      <c r="C75" s="26" t="n">
        <v>3</v>
      </c>
      <c r="D75" s="24" t="s">
        <v>62</v>
      </c>
      <c r="E75" s="27" t="n">
        <v>0</v>
      </c>
      <c r="F75" s="28" t="n">
        <v>1</v>
      </c>
      <c r="G75" s="24" t="s">
        <v>240</v>
      </c>
      <c r="H75" s="29" t="n">
        <f aca="false">C75*E75</f>
        <v>0</v>
      </c>
      <c r="I75" s="30" t="n">
        <f aca="false">C75*F75</f>
        <v>3</v>
      </c>
      <c r="J75" s="25" t="s">
        <v>254</v>
      </c>
    </row>
    <row r="76" customFormat="false" ht="24" hidden="false" customHeight="true" outlineLevel="0" collapsed="false">
      <c r="A76" s="31" t="s">
        <v>255</v>
      </c>
      <c r="B76" s="32" t="s">
        <v>256</v>
      </c>
      <c r="C76" s="33" t="n">
        <v>5</v>
      </c>
      <c r="D76" s="31" t="s">
        <v>62</v>
      </c>
      <c r="E76" s="34" t="n">
        <v>75.47</v>
      </c>
      <c r="F76" s="35" t="n">
        <v>1.075</v>
      </c>
      <c r="G76" s="31" t="s">
        <v>240</v>
      </c>
      <c r="H76" s="36" t="n">
        <f aca="false">C76*E76</f>
        <v>377.35</v>
      </c>
      <c r="I76" s="37" t="n">
        <f aca="false">C76*F76</f>
        <v>5.375</v>
      </c>
      <c r="J76" s="32" t="s">
        <v>257</v>
      </c>
    </row>
    <row r="77" customFormat="false" ht="36" hidden="false" customHeight="true" outlineLevel="0" collapsed="false">
      <c r="A77" s="24" t="s">
        <v>258</v>
      </c>
      <c r="B77" s="25" t="s">
        <v>259</v>
      </c>
      <c r="C77" s="26" t="n">
        <v>918.64</v>
      </c>
      <c r="D77" s="24" t="s">
        <v>132</v>
      </c>
      <c r="E77" s="27" t="n">
        <v>2.3</v>
      </c>
      <c r="F77" s="28" t="n">
        <v>0.071</v>
      </c>
      <c r="G77" s="24" t="s">
        <v>240</v>
      </c>
      <c r="H77" s="29" t="n">
        <f aca="false">C77*E77</f>
        <v>2112.872</v>
      </c>
      <c r="I77" s="30" t="n">
        <f aca="false">C77*F77</f>
        <v>65.22344</v>
      </c>
      <c r="J77" s="25" t="s">
        <v>260</v>
      </c>
    </row>
    <row r="78" customFormat="false" ht="24" hidden="false" customHeight="true" outlineLevel="0" collapsed="false">
      <c r="A78" s="31" t="s">
        <v>261</v>
      </c>
      <c r="B78" s="32" t="s">
        <v>262</v>
      </c>
      <c r="C78" s="33" t="n">
        <v>46</v>
      </c>
      <c r="D78" s="31" t="s">
        <v>62</v>
      </c>
      <c r="E78" s="34" t="n">
        <v>8</v>
      </c>
      <c r="F78" s="35" t="n">
        <v>0.25</v>
      </c>
      <c r="G78" s="31" t="s">
        <v>240</v>
      </c>
      <c r="H78" s="36" t="n">
        <f aca="false">C78*E78</f>
        <v>368</v>
      </c>
      <c r="I78" s="37" t="n">
        <f aca="false">C78*F78</f>
        <v>11.5</v>
      </c>
      <c r="J78" s="32" t="s">
        <v>263</v>
      </c>
    </row>
    <row r="79" customFormat="false" ht="36" hidden="false" customHeight="true" outlineLevel="0" collapsed="false">
      <c r="A79" s="24" t="s">
        <v>264</v>
      </c>
      <c r="B79" s="25" t="s">
        <v>265</v>
      </c>
      <c r="C79" s="26" t="n">
        <v>1</v>
      </c>
      <c r="D79" s="24" t="s">
        <v>82</v>
      </c>
      <c r="E79" s="27" t="n">
        <v>13034.8</v>
      </c>
      <c r="F79" s="28" t="n">
        <v>0</v>
      </c>
      <c r="G79" s="24" t="s">
        <v>240</v>
      </c>
      <c r="H79" s="29" t="n">
        <f aca="false">C79*E79</f>
        <v>13034.8</v>
      </c>
      <c r="I79" s="30" t="n">
        <f aca="false">C79*F79</f>
        <v>0</v>
      </c>
      <c r="J79" s="25" t="s">
        <v>266</v>
      </c>
    </row>
    <row r="80" customFormat="false" ht="15" hidden="false" customHeight="false" outlineLevel="0" collapsed="false">
      <c r="A80" s="40"/>
      <c r="B80" s="40" t="s">
        <v>267</v>
      </c>
      <c r="C80" s="40"/>
      <c r="D80" s="40"/>
      <c r="E80" s="40"/>
      <c r="F80" s="40"/>
      <c r="G80" s="40"/>
      <c r="H80" s="41" t="n">
        <f aca="false">SUM(H71:H79)</f>
        <v>16893.022</v>
      </c>
      <c r="I80" s="42" t="n">
        <f aca="false">SUM(I71:I79)</f>
        <v>140.34844</v>
      </c>
      <c r="J80" s="40"/>
    </row>
    <row r="82" customFormat="false" ht="15" hidden="false" customHeight="false" outlineLevel="0" collapsed="false">
      <c r="A82" s="23" t="s">
        <v>268</v>
      </c>
      <c r="B82" s="23"/>
      <c r="C82" s="23"/>
      <c r="D82" s="23"/>
      <c r="E82" s="23"/>
      <c r="F82" s="23"/>
      <c r="G82" s="23"/>
      <c r="H82" s="23"/>
      <c r="I82" s="23"/>
      <c r="J82" s="23"/>
    </row>
    <row r="83" customFormat="false" ht="24" hidden="false" customHeight="true" outlineLevel="0" collapsed="false">
      <c r="A83" s="24" t="s">
        <v>269</v>
      </c>
      <c r="B83" s="25" t="s">
        <v>270</v>
      </c>
      <c r="C83" s="26" t="n">
        <v>2</v>
      </c>
      <c r="D83" s="24" t="s">
        <v>62</v>
      </c>
      <c r="E83" s="27" t="n">
        <v>0</v>
      </c>
      <c r="F83" s="28" t="n">
        <v>0.5</v>
      </c>
      <c r="G83" s="24" t="s">
        <v>271</v>
      </c>
      <c r="H83" s="29" t="n">
        <f aca="false">C83*E83</f>
        <v>0</v>
      </c>
      <c r="I83" s="30" t="n">
        <f aca="false">C83*F83</f>
        <v>1</v>
      </c>
      <c r="J83" s="25" t="s">
        <v>272</v>
      </c>
    </row>
    <row r="84" customFormat="false" ht="24" hidden="false" customHeight="true" outlineLevel="0" collapsed="false">
      <c r="A84" s="31" t="s">
        <v>273</v>
      </c>
      <c r="B84" s="32" t="s">
        <v>274</v>
      </c>
      <c r="C84" s="33" t="n">
        <v>2</v>
      </c>
      <c r="D84" s="31" t="s">
        <v>62</v>
      </c>
      <c r="E84" s="34" t="n">
        <v>300</v>
      </c>
      <c r="F84" s="35" t="n">
        <v>0</v>
      </c>
      <c r="G84" s="31" t="s">
        <v>271</v>
      </c>
      <c r="H84" s="36" t="n">
        <f aca="false">C84*E84</f>
        <v>600</v>
      </c>
      <c r="I84" s="37" t="n">
        <f aca="false">C84*F84</f>
        <v>0</v>
      </c>
      <c r="J84" s="32" t="s">
        <v>275</v>
      </c>
    </row>
    <row r="85" customFormat="false" ht="24" hidden="false" customHeight="true" outlineLevel="0" collapsed="false">
      <c r="A85" s="24" t="s">
        <v>276</v>
      </c>
      <c r="B85" s="25" t="s">
        <v>277</v>
      </c>
      <c r="C85" s="26" t="n">
        <v>98.43</v>
      </c>
      <c r="D85" s="24" t="s">
        <v>132</v>
      </c>
      <c r="E85" s="27" t="n">
        <v>1.81</v>
      </c>
      <c r="F85" s="28" t="n">
        <v>0.084</v>
      </c>
      <c r="G85" s="24" t="s">
        <v>271</v>
      </c>
      <c r="H85" s="29" t="n">
        <f aca="false">C85*E85</f>
        <v>178.1583</v>
      </c>
      <c r="I85" s="30" t="n">
        <f aca="false">C85*F85</f>
        <v>8.26812</v>
      </c>
      <c r="J85" s="25" t="s">
        <v>278</v>
      </c>
    </row>
    <row r="86" customFormat="false" ht="24" hidden="false" customHeight="true" outlineLevel="0" collapsed="false">
      <c r="A86" s="31" t="s">
        <v>279</v>
      </c>
      <c r="B86" s="32" t="s">
        <v>280</v>
      </c>
      <c r="C86" s="33" t="n">
        <v>1</v>
      </c>
      <c r="D86" s="31" t="s">
        <v>62</v>
      </c>
      <c r="E86" s="34" t="n">
        <v>0</v>
      </c>
      <c r="F86" s="35" t="n">
        <v>8</v>
      </c>
      <c r="G86" s="31" t="s">
        <v>281</v>
      </c>
      <c r="H86" s="36" t="n">
        <f aca="false">C86*E86</f>
        <v>0</v>
      </c>
      <c r="I86" s="37" t="n">
        <f aca="false">C86*F86</f>
        <v>8</v>
      </c>
      <c r="J86" s="32" t="s">
        <v>282</v>
      </c>
    </row>
    <row r="87" customFormat="false" ht="36" hidden="false" customHeight="true" outlineLevel="0" collapsed="false">
      <c r="A87" s="24" t="s">
        <v>283</v>
      </c>
      <c r="B87" s="25" t="s">
        <v>284</v>
      </c>
      <c r="C87" s="26" t="n">
        <v>1</v>
      </c>
      <c r="D87" s="24" t="s">
        <v>82</v>
      </c>
      <c r="E87" s="38" t="n">
        <v>0</v>
      </c>
      <c r="F87" s="39" t="n">
        <v>12</v>
      </c>
      <c r="G87" s="24" t="s">
        <v>281</v>
      </c>
      <c r="H87" s="29" t="n">
        <f aca="false">C87*E87</f>
        <v>0</v>
      </c>
      <c r="I87" s="30" t="n">
        <f aca="false">C87*F87</f>
        <v>12</v>
      </c>
      <c r="J87" s="25" t="s">
        <v>83</v>
      </c>
    </row>
    <row r="88" customFormat="false" ht="24" hidden="false" customHeight="true" outlineLevel="0" collapsed="false">
      <c r="A88" s="31" t="s">
        <v>285</v>
      </c>
      <c r="B88" s="32" t="s">
        <v>286</v>
      </c>
      <c r="C88" s="33" t="n">
        <v>1</v>
      </c>
      <c r="D88" s="31" t="s">
        <v>82</v>
      </c>
      <c r="E88" s="38" t="n">
        <v>0</v>
      </c>
      <c r="F88" s="39" t="n">
        <v>8</v>
      </c>
      <c r="G88" s="31" t="s">
        <v>287</v>
      </c>
      <c r="H88" s="36" t="n">
        <f aca="false">C88*E88</f>
        <v>0</v>
      </c>
      <c r="I88" s="37" t="n">
        <f aca="false">C88*F88</f>
        <v>8</v>
      </c>
      <c r="J88" s="32" t="s">
        <v>83</v>
      </c>
    </row>
    <row r="89" customFormat="false" ht="36" hidden="false" customHeight="true" outlineLevel="0" collapsed="false">
      <c r="A89" s="24" t="s">
        <v>288</v>
      </c>
      <c r="B89" s="25" t="s">
        <v>289</v>
      </c>
      <c r="C89" s="26" t="n">
        <v>1</v>
      </c>
      <c r="D89" s="24" t="s">
        <v>82</v>
      </c>
      <c r="E89" s="27" t="n">
        <v>7400</v>
      </c>
      <c r="F89" s="28" t="n">
        <v>0</v>
      </c>
      <c r="G89" s="24" t="s">
        <v>287</v>
      </c>
      <c r="H89" s="29" t="n">
        <f aca="false">C89*E89</f>
        <v>7400</v>
      </c>
      <c r="I89" s="30" t="n">
        <f aca="false">C89*F89</f>
        <v>0</v>
      </c>
      <c r="J89" s="25" t="s">
        <v>290</v>
      </c>
    </row>
    <row r="90" customFormat="false" ht="15" hidden="false" customHeight="false" outlineLevel="0" collapsed="false">
      <c r="A90" s="40"/>
      <c r="B90" s="40" t="s">
        <v>291</v>
      </c>
      <c r="C90" s="40"/>
      <c r="D90" s="40"/>
      <c r="E90" s="40"/>
      <c r="F90" s="40"/>
      <c r="G90" s="40"/>
      <c r="H90" s="41" t="n">
        <f aca="false">SUM(H83:H89)</f>
        <v>8178.1583</v>
      </c>
      <c r="I90" s="42" t="n">
        <f aca="false">SUM(I83:I89)</f>
        <v>37.26812</v>
      </c>
      <c r="J90" s="40"/>
    </row>
    <row r="92" customFormat="false" ht="15" hidden="false" customHeight="false" outlineLevel="0" collapsed="false">
      <c r="A92" s="23" t="s">
        <v>292</v>
      </c>
      <c r="B92" s="23"/>
      <c r="C92" s="23"/>
      <c r="D92" s="23"/>
      <c r="E92" s="23"/>
      <c r="F92" s="23"/>
      <c r="G92" s="23"/>
      <c r="H92" s="23"/>
      <c r="I92" s="23"/>
      <c r="J92" s="23"/>
    </row>
    <row r="93" customFormat="false" ht="24" hidden="false" customHeight="true" outlineLevel="0" collapsed="false">
      <c r="A93" s="24" t="s">
        <v>293</v>
      </c>
      <c r="B93" s="25" t="s">
        <v>294</v>
      </c>
      <c r="C93" s="26" t="n">
        <v>1</v>
      </c>
      <c r="D93" s="24" t="s">
        <v>82</v>
      </c>
      <c r="E93" s="27" t="n">
        <v>1225</v>
      </c>
      <c r="F93" s="28" t="n">
        <v>8</v>
      </c>
      <c r="G93" s="24" t="s">
        <v>187</v>
      </c>
      <c r="H93" s="29" t="n">
        <f aca="false">C93*E93</f>
        <v>1225</v>
      </c>
      <c r="I93" s="30" t="n">
        <f aca="false">C93*F93</f>
        <v>8</v>
      </c>
      <c r="J93" s="25" t="s">
        <v>295</v>
      </c>
    </row>
    <row r="94" customFormat="false" ht="24" hidden="false" customHeight="true" outlineLevel="0" collapsed="false">
      <c r="A94" s="31" t="s">
        <v>296</v>
      </c>
      <c r="B94" s="32" t="s">
        <v>297</v>
      </c>
      <c r="C94" s="33" t="n">
        <v>1</v>
      </c>
      <c r="D94" s="31" t="s">
        <v>82</v>
      </c>
      <c r="E94" s="38" t="n">
        <v>0</v>
      </c>
      <c r="F94" s="39" t="n">
        <v>20</v>
      </c>
      <c r="G94" s="31" t="s">
        <v>187</v>
      </c>
      <c r="H94" s="36" t="n">
        <f aca="false">C94*E94</f>
        <v>0</v>
      </c>
      <c r="I94" s="37" t="n">
        <f aca="false">C94*F94</f>
        <v>20</v>
      </c>
      <c r="J94" s="32" t="s">
        <v>83</v>
      </c>
    </row>
    <row r="95" customFormat="false" ht="36" hidden="false" customHeight="true" outlineLevel="0" collapsed="false">
      <c r="A95" s="24" t="s">
        <v>298</v>
      </c>
      <c r="B95" s="25" t="s">
        <v>299</v>
      </c>
      <c r="C95" s="26" t="n">
        <v>1</v>
      </c>
      <c r="D95" s="24" t="s">
        <v>82</v>
      </c>
      <c r="E95" s="38" t="n">
        <v>0</v>
      </c>
      <c r="F95" s="39" t="n">
        <v>12</v>
      </c>
      <c r="G95" s="24" t="s">
        <v>187</v>
      </c>
      <c r="H95" s="29" t="n">
        <f aca="false">C95*E95</f>
        <v>0</v>
      </c>
      <c r="I95" s="30" t="n">
        <f aca="false">C95*F95</f>
        <v>12</v>
      </c>
      <c r="J95" s="25" t="s">
        <v>83</v>
      </c>
    </row>
    <row r="96" customFormat="false" ht="24" hidden="false" customHeight="true" outlineLevel="0" collapsed="false">
      <c r="A96" s="31" t="s">
        <v>300</v>
      </c>
      <c r="B96" s="32" t="s">
        <v>301</v>
      </c>
      <c r="C96" s="33" t="n">
        <v>1</v>
      </c>
      <c r="D96" s="31" t="s">
        <v>82</v>
      </c>
      <c r="E96" s="38" t="n">
        <v>0</v>
      </c>
      <c r="F96" s="39" t="n">
        <v>8</v>
      </c>
      <c r="G96" s="31" t="s">
        <v>187</v>
      </c>
      <c r="H96" s="36" t="n">
        <f aca="false">C96*E96</f>
        <v>0</v>
      </c>
      <c r="I96" s="37" t="n">
        <f aca="false">C96*F96</f>
        <v>8</v>
      </c>
      <c r="J96" s="32" t="s">
        <v>83</v>
      </c>
    </row>
    <row r="97" customFormat="false" ht="15" hidden="false" customHeight="false" outlineLevel="0" collapsed="false">
      <c r="A97" s="40"/>
      <c r="B97" s="40" t="s">
        <v>302</v>
      </c>
      <c r="C97" s="40"/>
      <c r="D97" s="40"/>
      <c r="E97" s="40"/>
      <c r="F97" s="40"/>
      <c r="G97" s="40"/>
      <c r="H97" s="41" t="n">
        <f aca="false">SUM(H93:H96)</f>
        <v>1225</v>
      </c>
      <c r="I97" s="42" t="n">
        <f aca="false">SUM(I93:I96)</f>
        <v>48</v>
      </c>
      <c r="J97" s="40"/>
    </row>
    <row r="99" customFormat="false" ht="15" hidden="false" customHeight="false" outlineLevel="0" collapsed="false">
      <c r="A99" s="43"/>
      <c r="B99" s="44" t="s">
        <v>303</v>
      </c>
      <c r="C99" s="43"/>
      <c r="D99" s="43"/>
      <c r="E99" s="43"/>
      <c r="F99" s="43"/>
      <c r="G99" s="43"/>
      <c r="H99" s="45" t="n">
        <f aca="false">H17+H28+H39+H68+H80+H90+H97</f>
        <v>62962.6754</v>
      </c>
      <c r="I99" s="46" t="n">
        <f aca="false">I17+I28+I39+I68+I80+I90+I97</f>
        <v>980.77535</v>
      </c>
      <c r="J99" s="43"/>
    </row>
  </sheetData>
  <mergeCells count="9">
    <mergeCell ref="B1:J1"/>
    <mergeCell ref="B2:J2"/>
    <mergeCell ref="A5:J5"/>
    <mergeCell ref="A19:J19"/>
    <mergeCell ref="A30:J30"/>
    <mergeCell ref="A41:J41"/>
    <mergeCell ref="A70:J70"/>
    <mergeCell ref="A82:J82"/>
    <mergeCell ref="A92:J92"/>
  </mergeCells>
  <printOptions headings="false" gridLines="false" gridLinesSet="true" horizontalCentered="false" verticalCentered="false"/>
  <pageMargins left="0.4" right="0.4" top="0.6" bottom="0.6" header="0.3" footer="0.3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&amp;L&amp;"Arial,Bold"&amp;9Le Groupe DR Électrique inc. — S-1902 Bibliothèque Georgette-Lepage&amp;R&amp;9Chiffrage méthode Dupuis — 2026-10-20</oddHeader>
    <oddFooter>&amp;L&amp;8DR Électrique inc. | Merci de votre confiance&amp;R&amp;8Page &amp;P de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7" min="6" style="0" width="15"/>
  </cols>
  <sheetData>
    <row r="1" customFormat="false" ht="24" hidden="false" customHeight="true" outlineLevel="0" collapsed="false">
      <c r="A1" s="1"/>
      <c r="B1" s="2" t="s">
        <v>304</v>
      </c>
      <c r="C1" s="2"/>
      <c r="D1" s="2"/>
      <c r="E1" s="2"/>
      <c r="F1" s="2"/>
      <c r="G1" s="2"/>
    </row>
    <row r="2" customFormat="false" ht="18" hidden="false" customHeight="true" outlineLevel="0" collapsed="false">
      <c r="A2" s="1"/>
      <c r="B2" s="3" t="s">
        <v>305</v>
      </c>
      <c r="C2" s="3"/>
      <c r="D2" s="3"/>
      <c r="E2" s="3"/>
      <c r="F2" s="3"/>
      <c r="G2" s="3"/>
    </row>
    <row r="3" customFormat="false" ht="27.75" hidden="false" customHeight="true" outlineLevel="0" collapsed="false">
      <c r="A3" s="5" t="s">
        <v>306</v>
      </c>
      <c r="B3" s="5" t="s">
        <v>307</v>
      </c>
      <c r="C3" s="5" t="s">
        <v>56</v>
      </c>
      <c r="D3" s="5" t="s">
        <v>57</v>
      </c>
      <c r="E3" s="5" t="s">
        <v>308</v>
      </c>
      <c r="F3" s="5" t="s">
        <v>309</v>
      </c>
      <c r="G3" s="5" t="s">
        <v>310</v>
      </c>
    </row>
    <row r="4" customFormat="false" ht="19.5" hidden="false" customHeight="true" outlineLevel="0" collapsed="false">
      <c r="A4" s="24" t="s">
        <v>75</v>
      </c>
      <c r="B4" s="25" t="s">
        <v>311</v>
      </c>
      <c r="C4" s="20" t="n">
        <v>0</v>
      </c>
      <c r="D4" s="30" t="n">
        <v>101.85</v>
      </c>
      <c r="E4" s="20" t="n">
        <v>8738.68</v>
      </c>
      <c r="F4" s="20" t="n">
        <v>8738.68</v>
      </c>
      <c r="G4" s="47" t="n">
        <v>10871</v>
      </c>
    </row>
    <row r="5" customFormat="false" ht="19.5" hidden="false" customHeight="true" outlineLevel="0" collapsed="false">
      <c r="A5" s="31" t="s">
        <v>128</v>
      </c>
      <c r="B5" s="32" t="s">
        <v>312</v>
      </c>
      <c r="C5" s="48" t="n">
        <v>2192.28</v>
      </c>
      <c r="D5" s="37" t="n">
        <v>42.44</v>
      </c>
      <c r="E5" s="48" t="n">
        <v>3641.09</v>
      </c>
      <c r="F5" s="48" t="n">
        <v>5833.37</v>
      </c>
      <c r="G5" s="49" t="n">
        <v>7257</v>
      </c>
    </row>
    <row r="6" customFormat="false" ht="19.5" hidden="false" customHeight="true" outlineLevel="0" collapsed="false">
      <c r="A6" s="24" t="s">
        <v>98</v>
      </c>
      <c r="B6" s="25" t="s">
        <v>313</v>
      </c>
      <c r="C6" s="20" t="n">
        <v>6335</v>
      </c>
      <c r="D6" s="30" t="n">
        <v>27.5</v>
      </c>
      <c r="E6" s="20" t="n">
        <v>2359.49</v>
      </c>
      <c r="F6" s="20" t="n">
        <v>8694.49</v>
      </c>
      <c r="G6" s="47" t="n">
        <v>10816</v>
      </c>
    </row>
    <row r="7" customFormat="false" ht="19.5" hidden="false" customHeight="true" outlineLevel="0" collapsed="false">
      <c r="A7" s="31" t="s">
        <v>106</v>
      </c>
      <c r="B7" s="32" t="s">
        <v>314</v>
      </c>
      <c r="C7" s="48" t="n">
        <v>0</v>
      </c>
      <c r="D7" s="37" t="n">
        <v>7.6</v>
      </c>
      <c r="E7" s="48" t="n">
        <v>652.08</v>
      </c>
      <c r="F7" s="48" t="n">
        <v>652.08</v>
      </c>
      <c r="G7" s="49" t="n">
        <v>811</v>
      </c>
    </row>
    <row r="8" customFormat="false" ht="19.5" hidden="false" customHeight="true" outlineLevel="0" collapsed="false">
      <c r="A8" s="24" t="s">
        <v>119</v>
      </c>
      <c r="B8" s="25" t="s">
        <v>315</v>
      </c>
      <c r="C8" s="20" t="n">
        <v>30</v>
      </c>
      <c r="D8" s="30" t="n">
        <v>4</v>
      </c>
      <c r="E8" s="20" t="n">
        <v>343.2</v>
      </c>
      <c r="F8" s="20" t="n">
        <v>373.2</v>
      </c>
      <c r="G8" s="47" t="n">
        <v>464</v>
      </c>
    </row>
    <row r="9" customFormat="false" ht="19.5" hidden="false" customHeight="true" outlineLevel="0" collapsed="false">
      <c r="A9" s="31" t="s">
        <v>161</v>
      </c>
      <c r="B9" s="32" t="s">
        <v>316</v>
      </c>
      <c r="C9" s="48" t="n">
        <v>2197.1</v>
      </c>
      <c r="D9" s="37" t="n">
        <v>34.25</v>
      </c>
      <c r="E9" s="48" t="n">
        <v>2938.63</v>
      </c>
      <c r="F9" s="48" t="n">
        <v>5135.73</v>
      </c>
      <c r="G9" s="49" t="n">
        <v>6389</v>
      </c>
    </row>
    <row r="10" customFormat="false" ht="19.5" hidden="false" customHeight="true" outlineLevel="0" collapsed="false">
      <c r="A10" s="24" t="s">
        <v>157</v>
      </c>
      <c r="B10" s="25" t="s">
        <v>317</v>
      </c>
      <c r="C10" s="20" t="n">
        <v>4259.79</v>
      </c>
      <c r="D10" s="30" t="n">
        <v>92</v>
      </c>
      <c r="E10" s="20" t="n">
        <v>7893.13</v>
      </c>
      <c r="F10" s="20" t="n">
        <v>12152.92</v>
      </c>
      <c r="G10" s="47" t="n">
        <v>15118</v>
      </c>
    </row>
    <row r="11" customFormat="false" ht="19.5" hidden="false" customHeight="true" outlineLevel="0" collapsed="false">
      <c r="A11" s="31" t="s">
        <v>175</v>
      </c>
      <c r="B11" s="32" t="s">
        <v>318</v>
      </c>
      <c r="C11" s="48" t="n">
        <v>1689.82</v>
      </c>
      <c r="D11" s="37" t="n">
        <v>25.85</v>
      </c>
      <c r="E11" s="48" t="n">
        <v>2217.92</v>
      </c>
      <c r="F11" s="48" t="n">
        <v>3907.74</v>
      </c>
      <c r="G11" s="49" t="n">
        <v>4861</v>
      </c>
    </row>
    <row r="12" customFormat="false" ht="19.5" hidden="false" customHeight="true" outlineLevel="0" collapsed="false">
      <c r="A12" s="24" t="s">
        <v>179</v>
      </c>
      <c r="B12" s="25" t="s">
        <v>319</v>
      </c>
      <c r="C12" s="20" t="n">
        <v>65.38</v>
      </c>
      <c r="D12" s="30" t="n">
        <v>1.3</v>
      </c>
      <c r="E12" s="20" t="n">
        <v>111.54</v>
      </c>
      <c r="F12" s="20" t="n">
        <v>176.92</v>
      </c>
      <c r="G12" s="47" t="n">
        <v>220</v>
      </c>
    </row>
    <row r="13" customFormat="false" ht="19.5" hidden="false" customHeight="true" outlineLevel="0" collapsed="false">
      <c r="A13" s="31" t="s">
        <v>187</v>
      </c>
      <c r="B13" s="32" t="s">
        <v>320</v>
      </c>
      <c r="C13" s="48" t="n">
        <v>13155.01</v>
      </c>
      <c r="D13" s="37" t="n">
        <v>290.7</v>
      </c>
      <c r="E13" s="48" t="n">
        <v>24942.31</v>
      </c>
      <c r="F13" s="48" t="n">
        <v>38097.31</v>
      </c>
      <c r="G13" s="49" t="n">
        <v>47386</v>
      </c>
    </row>
    <row r="14" customFormat="false" ht="19.5" hidden="false" customHeight="true" outlineLevel="0" collapsed="false">
      <c r="A14" s="24" t="s">
        <v>221</v>
      </c>
      <c r="B14" s="25" t="s">
        <v>321</v>
      </c>
      <c r="C14" s="20" t="n">
        <v>1250</v>
      </c>
      <c r="D14" s="30" t="n">
        <v>2</v>
      </c>
      <c r="E14" s="20" t="n">
        <v>171.6</v>
      </c>
      <c r="F14" s="20" t="n">
        <v>1421.6</v>
      </c>
      <c r="G14" s="47" t="n">
        <v>1768</v>
      </c>
    </row>
    <row r="15" customFormat="false" ht="19.5" hidden="false" customHeight="true" outlineLevel="0" collapsed="false">
      <c r="A15" s="31" t="s">
        <v>183</v>
      </c>
      <c r="B15" s="32" t="s">
        <v>322</v>
      </c>
      <c r="C15" s="48" t="n">
        <v>3294.67</v>
      </c>
      <c r="D15" s="37" t="n">
        <v>131.27</v>
      </c>
      <c r="E15" s="48" t="n">
        <v>11263.09</v>
      </c>
      <c r="F15" s="48" t="n">
        <v>14557.76</v>
      </c>
      <c r="G15" s="49" t="n">
        <v>18110</v>
      </c>
    </row>
    <row r="16" customFormat="false" ht="19.5" hidden="false" customHeight="true" outlineLevel="0" collapsed="false">
      <c r="A16" s="24" t="s">
        <v>225</v>
      </c>
      <c r="B16" s="25" t="s">
        <v>323</v>
      </c>
      <c r="C16" s="20" t="n">
        <v>3422.44</v>
      </c>
      <c r="D16" s="30" t="n">
        <v>4</v>
      </c>
      <c r="E16" s="20" t="n">
        <v>343.2</v>
      </c>
      <c r="F16" s="20" t="n">
        <v>3765.64</v>
      </c>
      <c r="G16" s="47" t="n">
        <v>4684</v>
      </c>
    </row>
    <row r="17" customFormat="false" ht="19.5" hidden="false" customHeight="true" outlineLevel="0" collapsed="false">
      <c r="A17" s="31" t="s">
        <v>240</v>
      </c>
      <c r="B17" s="32" t="s">
        <v>324</v>
      </c>
      <c r="C17" s="48" t="n">
        <v>16893.01</v>
      </c>
      <c r="D17" s="37" t="n">
        <v>140.35</v>
      </c>
      <c r="E17" s="48" t="n">
        <v>12041.8</v>
      </c>
      <c r="F17" s="48" t="n">
        <v>28934.81</v>
      </c>
      <c r="G17" s="49" t="n">
        <v>35995</v>
      </c>
    </row>
    <row r="18" customFormat="false" ht="19.5" hidden="false" customHeight="true" outlineLevel="0" collapsed="false">
      <c r="A18" s="24" t="s">
        <v>271</v>
      </c>
      <c r="B18" s="25" t="s">
        <v>325</v>
      </c>
      <c r="C18" s="20" t="n">
        <v>778.15</v>
      </c>
      <c r="D18" s="30" t="n">
        <v>9.27</v>
      </c>
      <c r="E18" s="20" t="n">
        <v>795.17</v>
      </c>
      <c r="F18" s="20" t="n">
        <v>1573.32</v>
      </c>
      <c r="G18" s="47" t="n">
        <v>1957</v>
      </c>
    </row>
    <row r="19" customFormat="false" ht="19.5" hidden="false" customHeight="true" outlineLevel="0" collapsed="false">
      <c r="A19" s="31" t="s">
        <v>281</v>
      </c>
      <c r="B19" s="32" t="s">
        <v>326</v>
      </c>
      <c r="C19" s="48" t="n">
        <v>0</v>
      </c>
      <c r="D19" s="37" t="n">
        <v>20</v>
      </c>
      <c r="E19" s="48" t="n">
        <v>1715.99</v>
      </c>
      <c r="F19" s="48" t="n">
        <v>1715.99</v>
      </c>
      <c r="G19" s="49" t="n">
        <v>2135</v>
      </c>
    </row>
    <row r="20" customFormat="false" ht="19.5" hidden="false" customHeight="true" outlineLevel="0" collapsed="false">
      <c r="A20" s="24" t="s">
        <v>287</v>
      </c>
      <c r="B20" s="25" t="s">
        <v>327</v>
      </c>
      <c r="C20" s="20" t="n">
        <v>7400</v>
      </c>
      <c r="D20" s="30" t="n">
        <v>8</v>
      </c>
      <c r="E20" s="20" t="n">
        <v>686.4</v>
      </c>
      <c r="F20" s="20" t="n">
        <v>8086.4</v>
      </c>
      <c r="G20" s="47" t="n">
        <v>10059</v>
      </c>
    </row>
    <row r="21" customFormat="false" ht="19.5" hidden="false" customHeight="true" outlineLevel="0" collapsed="false">
      <c r="A21" s="31" t="s">
        <v>63</v>
      </c>
      <c r="B21" s="32" t="s">
        <v>328</v>
      </c>
      <c r="C21" s="48" t="n">
        <v>0</v>
      </c>
      <c r="D21" s="37" t="n">
        <v>38.4</v>
      </c>
      <c r="E21" s="48" t="n">
        <v>3294.7</v>
      </c>
      <c r="F21" s="48" t="n">
        <v>3294.7</v>
      </c>
      <c r="G21" s="49" t="n">
        <v>4099</v>
      </c>
    </row>
    <row r="22" customFormat="false" ht="15" hidden="false" customHeight="false" outlineLevel="0" collapsed="false">
      <c r="A22" s="43"/>
      <c r="B22" s="44" t="s">
        <v>329</v>
      </c>
      <c r="C22" s="50" t="n">
        <f aca="false">SUM(C4:C21)</f>
        <v>62962.65</v>
      </c>
      <c r="D22" s="46" t="n">
        <f aca="false">SUM(D4:D21)</f>
        <v>980.78</v>
      </c>
      <c r="E22" s="50" t="n">
        <f aca="false">SUM(E4:E21)</f>
        <v>84150.02</v>
      </c>
      <c r="F22" s="50" t="n">
        <f aca="false">SUM(F4:F21)</f>
        <v>147112.66</v>
      </c>
      <c r="G22" s="50" t="n">
        <f aca="false">SUM(G4:G21)</f>
        <v>183000</v>
      </c>
    </row>
    <row r="23" customFormat="false" ht="15" hidden="false" customHeight="false" outlineLevel="0" collapsed="false">
      <c r="A23" s="51"/>
      <c r="B23" s="19" t="s">
        <v>330</v>
      </c>
      <c r="C23" s="51"/>
      <c r="D23" s="51"/>
      <c r="E23" s="51"/>
      <c r="F23" s="51"/>
      <c r="G23" s="52" t="n">
        <f aca="false">ROUND(G22*0.05,2)</f>
        <v>9150</v>
      </c>
    </row>
    <row r="24" customFormat="false" ht="15" hidden="false" customHeight="false" outlineLevel="0" collapsed="false">
      <c r="A24" s="51"/>
      <c r="B24" s="19" t="s">
        <v>331</v>
      </c>
      <c r="C24" s="51"/>
      <c r="D24" s="51"/>
      <c r="E24" s="51"/>
      <c r="F24" s="51"/>
      <c r="G24" s="52" t="n">
        <f aca="false">ROUND(G22*0.09975,2)</f>
        <v>18254.25</v>
      </c>
    </row>
    <row r="25" customFormat="false" ht="15" hidden="false" customHeight="false" outlineLevel="0" collapsed="false">
      <c r="A25" s="51"/>
      <c r="B25" s="53" t="s">
        <v>332</v>
      </c>
      <c r="C25" s="51"/>
      <c r="D25" s="51"/>
      <c r="E25" s="51"/>
      <c r="F25" s="51"/>
      <c r="G25" s="54" t="n">
        <f aca="false">G22+G23+G24</f>
        <v>210404.25</v>
      </c>
    </row>
  </sheetData>
  <mergeCells count="2">
    <mergeCell ref="B1:G1"/>
    <mergeCell ref="B2:G2"/>
  </mergeCells>
  <printOptions headings="false" gridLines="false" gridLinesSet="true" horizontalCentered="false" verticalCentered="false"/>
  <pageMargins left="0.4" right="0.4" top="0.6" bottom="0.6" header="0.3" footer="0.3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&amp;L&amp;"Arial,Bold"&amp;9Le Groupe DR Électrique inc. — S-1902 Bibliothèque Georgette-Lepage&amp;R&amp;9Chiffrage méthode Dupuis — 2026-10-20</oddHeader>
    <oddFooter>&amp;L&amp;8DR Électrique inc. | Merci de votre confiance&amp;R&amp;8Page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2026-10-20T21:02:28Z</dcterms:created>
  <dc:creator>openpyxl</dc:creator>
  <dc:description/>
  <dc:language>en-US</dc:language>
  <cp:lastModifiedBy/>
  <dcterms:modified xsi:type="dcterms:W3CDTF">2026-10-20T21:02:28Z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