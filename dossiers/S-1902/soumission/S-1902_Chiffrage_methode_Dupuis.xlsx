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mmaire" sheetId="1" state="visible" r:id="rId1"/>
    <sheet name="Détail" sheetId="2" state="visible" r:id="rId2"/>
    <sheet name="Par article" sheetId="3" state="visible" r:id="rId3"/>
  </sheets>
  <definedNames>
    <definedName name="_xlnm.Print_Titles" localSheetId="0">'Sommaire'!$1:$3</definedName>
    <definedName name="_xlnm.Print_Titles" localSheetId="1">'Détail'!$1:$4</definedName>
    <definedName name="_xlnm.Print_Titles" localSheetId="2">'Par article'!$1:$3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[$-C0C]#,##0.00 $;-#,##0.00 $;&quot;-&quot;"/>
    <numFmt numFmtId="165" formatCode="[$-C0C]0.000"/>
    <numFmt numFmtId="166" formatCode="[$-C0C]#,##0.00;-#,##0.00;&quot;-&quot;"/>
    <numFmt numFmtId="167" formatCode="[$-C0C]#,##0 $;-#,##0 $;&quot;-&quot;"/>
    <numFmt numFmtId="168" formatCode="[$-C0C]#,##0 &quot;h&quot;"/>
    <numFmt numFmtId="169" formatCode="[$-C0C]#,##0.00 &quot;h&quot;"/>
  </numFmts>
  <fonts count="12">
    <font>
      <name val="Calibri"/>
      <family val="2"/>
      <color theme="1"/>
      <sz val="11"/>
      <scheme val="minor"/>
    </font>
    <font>
      <name val="Arial"/>
      <b val="1"/>
      <color rgb="006B1A1A"/>
      <sz val="14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b val="1"/>
      <color rgb="006B1A1A"/>
      <sz val="10"/>
    </font>
    <font>
      <name val="Arial"/>
      <sz val="9"/>
    </font>
    <font>
      <name val="Arial"/>
      <color rgb="000000FF"/>
      <sz val="9"/>
    </font>
    <font>
      <name val="Arial"/>
      <b val="1"/>
      <sz val="9"/>
    </font>
    <font>
      <name val="Arial"/>
      <b val="1"/>
      <color rgb="006B1A1A"/>
      <sz val="11"/>
    </font>
    <font>
      <name val="Arial"/>
      <b val="1"/>
      <color rgb="006B1A1A"/>
      <sz val="8"/>
    </font>
    <font>
      <name val="Arial"/>
      <b val="1"/>
      <color rgb="006B1A1A"/>
      <sz val="15"/>
    </font>
    <font>
      <name val="Arial"/>
      <b val="1"/>
      <color rgb="001F1F1F"/>
      <sz val="15"/>
    </font>
  </fonts>
  <fills count="7">
    <fill>
      <patternFill/>
    </fill>
    <fill>
      <patternFill patternType="gray125"/>
    </fill>
    <fill>
      <patternFill patternType="solid">
        <fgColor rgb="00F5E6E6"/>
      </patternFill>
    </fill>
    <fill>
      <patternFill patternType="solid">
        <fgColor rgb="006B1A1A"/>
      </patternFill>
    </fill>
    <fill>
      <patternFill patternType="solid">
        <fgColor rgb="00FAFAF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8">
    <border>
      <left/>
      <right/>
      <top/>
      <bottom/>
      <diagonal/>
    </border>
    <border>
      <bottom style="medium">
        <color rgb="006B1A1A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 style="thin">
        <color rgb="00BFBFBF"/>
      </right>
      <top style="medium">
        <color rgb="006B1A1A"/>
      </top>
      <bottom style="medium">
        <color rgb="006B1A1A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0" fillId="0" borderId="1" pivotButton="0" quotePrefix="0" xfId="0"/>
    <xf numFmtId="0" fontId="9" fillId="2" borderId="2" applyAlignment="1" pivotButton="0" quotePrefix="0" xfId="0">
      <alignment horizontal="center" vertical="center"/>
    </xf>
    <xf numFmtId="167" fontId="10" fillId="2" borderId="2" applyAlignment="1" pivotButton="0" quotePrefix="0" xfId="0">
      <alignment horizontal="center" vertical="center"/>
    </xf>
    <xf numFmtId="168" fontId="11" fillId="2" borderId="2" applyAlignment="1" pivotButton="0" quotePrefix="0" xfId="0">
      <alignment horizontal="center" vertical="center"/>
    </xf>
    <xf numFmtId="167" fontId="11" fillId="2" borderId="2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 indent="1"/>
    </xf>
    <xf numFmtId="164" fontId="6" fillId="0" borderId="2" applyAlignment="1" pivotButton="0" quotePrefix="0" xfId="0">
      <alignment horizontal="right" vertical="center" indent="1"/>
    </xf>
    <xf numFmtId="0" fontId="2" fillId="0" borderId="2" applyAlignment="1" pivotButton="0" quotePrefix="0" xfId="0">
      <alignment horizontal="left" vertical="center" wrapText="1" indent="1"/>
    </xf>
    <xf numFmtId="0" fontId="5" fillId="4" borderId="2" applyAlignment="1" pivotButton="0" quotePrefix="0" xfId="0">
      <alignment horizontal="left" vertical="center" wrapText="1" indent="1"/>
    </xf>
    <xf numFmtId="164" fontId="5" fillId="4" borderId="2" applyAlignment="1" pivotButton="0" quotePrefix="0" xfId="0">
      <alignment horizontal="right" vertical="center" indent="1"/>
    </xf>
    <xf numFmtId="0" fontId="2" fillId="4" borderId="2" applyAlignment="1" pivotButton="0" quotePrefix="0" xfId="0">
      <alignment horizontal="left" vertical="center" wrapText="1" indent="1"/>
    </xf>
    <xf numFmtId="169" fontId="5" fillId="0" borderId="2" applyAlignment="1" pivotButton="0" quotePrefix="0" xfId="0">
      <alignment horizontal="right" vertical="center" indent="1"/>
    </xf>
    <xf numFmtId="168" fontId="5" fillId="4" borderId="2" applyAlignment="1" pivotButton="0" quotePrefix="0" xfId="0">
      <alignment horizontal="right" vertical="center" indent="1"/>
    </xf>
    <xf numFmtId="164" fontId="5" fillId="0" borderId="2" applyAlignment="1" pivotButton="0" quotePrefix="0" xfId="0">
      <alignment horizontal="right" vertical="center" indent="1"/>
    </xf>
    <xf numFmtId="165" fontId="6" fillId="0" borderId="2" applyAlignment="1" pivotButton="0" quotePrefix="0" xfId="0">
      <alignment horizontal="right" vertical="center" indent="1"/>
    </xf>
    <xf numFmtId="167" fontId="5" fillId="4" borderId="2" applyAlignment="1" pivotButton="0" quotePrefix="0" xfId="0">
      <alignment horizontal="right" vertical="center" indent="1"/>
    </xf>
    <xf numFmtId="0" fontId="7" fillId="2" borderId="2" applyAlignment="1" pivotButton="0" quotePrefix="0" xfId="0">
      <alignment horizontal="left" vertical="center" wrapText="1" indent="1"/>
    </xf>
    <xf numFmtId="167" fontId="8" fillId="2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left" vertical="center" wrapText="1" indent="1"/>
    </xf>
    <xf numFmtId="167" fontId="5" fillId="0" borderId="2" applyAlignment="1" pivotButton="0" quotePrefix="0" xfId="0">
      <alignment horizontal="right" vertical="center" indent="1"/>
    </xf>
    <xf numFmtId="0" fontId="5" fillId="5" borderId="2" applyAlignment="1" pivotButton="0" quotePrefix="0" xfId="0">
      <alignment horizontal="left" vertical="center" wrapText="1" indent="1"/>
    </xf>
    <xf numFmtId="164" fontId="5" fillId="5" borderId="2" applyAlignment="1" pivotButton="0" quotePrefix="0" xfId="0">
      <alignment horizontal="right" vertical="center" indent="1"/>
    </xf>
    <xf numFmtId="0" fontId="2" fillId="5" borderId="2" applyAlignment="1" pivotButton="0" quotePrefix="0" xfId="0">
      <alignment horizontal="left" vertical="center" wrapText="1" indent="1"/>
    </xf>
    <xf numFmtId="0" fontId="4" fillId="2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right" vertical="center" indent="1"/>
    </xf>
    <xf numFmtId="164" fontId="6" fillId="0" borderId="2" applyAlignment="1" pivotButton="0" quotePrefix="0" xfId="0">
      <alignment horizontal="right" vertical="center" indent="1"/>
    </xf>
    <xf numFmtId="165" fontId="6" fillId="0" borderId="2" applyAlignment="1" pivotButton="0" quotePrefix="0" xfId="0">
      <alignment horizontal="right" vertical="center" indent="1"/>
    </xf>
    <xf numFmtId="164" fontId="5" fillId="0" borderId="2" applyAlignment="1" pivotButton="0" quotePrefix="0" xfId="0">
      <alignment horizontal="right" vertical="center" indent="1"/>
    </xf>
    <xf numFmtId="166" fontId="5" fillId="0" borderId="2" applyAlignment="1" pivotButton="0" quotePrefix="0" xfId="0">
      <alignment horizontal="right" vertical="center" inden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right" vertical="center" indent="1"/>
    </xf>
    <xf numFmtId="164" fontId="6" fillId="4" borderId="2" applyAlignment="1" pivotButton="0" quotePrefix="0" xfId="0">
      <alignment horizontal="right" vertical="center" indent="1"/>
    </xf>
    <xf numFmtId="165" fontId="6" fillId="4" borderId="2" applyAlignment="1" pivotButton="0" quotePrefix="0" xfId="0">
      <alignment horizontal="right" vertical="center" indent="1"/>
    </xf>
    <xf numFmtId="164" fontId="5" fillId="4" borderId="2" applyAlignment="1" pivotButton="0" quotePrefix="0" xfId="0">
      <alignment horizontal="right" vertical="center" indent="1"/>
    </xf>
    <xf numFmtId="166" fontId="5" fillId="4" borderId="2" applyAlignment="1" pivotButton="0" quotePrefix="0" xfId="0">
      <alignment horizontal="right" vertical="center" indent="1"/>
    </xf>
    <xf numFmtId="164" fontId="6" fillId="5" borderId="2" applyAlignment="1" pivotButton="0" quotePrefix="0" xfId="0">
      <alignment horizontal="right" vertical="center" indent="1"/>
    </xf>
    <xf numFmtId="165" fontId="6" fillId="5" borderId="2" applyAlignment="1" pivotButton="0" quotePrefix="0" xfId="0">
      <alignment horizontal="right" vertical="center" indent="1"/>
    </xf>
    <xf numFmtId="0" fontId="7" fillId="6" borderId="2" pivotButton="0" quotePrefix="0" xfId="0"/>
    <xf numFmtId="164" fontId="7" fillId="6" borderId="2" applyAlignment="1" pivotButton="0" quotePrefix="0" xfId="0">
      <alignment horizontal="right" vertical="center" indent="1"/>
    </xf>
    <xf numFmtId="166" fontId="7" fillId="6" borderId="2" applyAlignment="1" pivotButton="0" quotePrefix="0" xfId="0">
      <alignment horizontal="right" vertical="center" indent="1"/>
    </xf>
    <xf numFmtId="0" fontId="0" fillId="2" borderId="7" pivotButton="0" quotePrefix="0" xfId="0"/>
    <xf numFmtId="0" fontId="8" fillId="2" borderId="7" pivotButton="0" quotePrefix="0" xfId="0"/>
    <xf numFmtId="164" fontId="8" fillId="2" borderId="7" applyAlignment="1" pivotButton="0" quotePrefix="0" xfId="0">
      <alignment horizontal="right" vertical="center" indent="1"/>
    </xf>
    <xf numFmtId="166" fontId="8" fillId="2" borderId="7" applyAlignment="1" pivotButton="0" quotePrefix="0" xfId="0">
      <alignment horizontal="right" vertical="center" indent="1"/>
    </xf>
    <xf numFmtId="0" fontId="5" fillId="0" borderId="2" applyAlignment="1" pivotButton="0" quotePrefix="0" xfId="0">
      <alignment vertical="center" wrapText="1"/>
    </xf>
    <xf numFmtId="167" fontId="5" fillId="0" borderId="2" applyAlignment="1" pivotButton="0" quotePrefix="0" xfId="0">
      <alignment horizontal="right" vertical="center" indent="1"/>
    </xf>
    <xf numFmtId="167" fontId="7" fillId="0" borderId="2" applyAlignment="1" pivotButton="0" quotePrefix="0" xfId="0">
      <alignment horizontal="right" vertical="center" indent="1"/>
    </xf>
    <xf numFmtId="0" fontId="5" fillId="4" borderId="2" applyAlignment="1" pivotButton="0" quotePrefix="0" xfId="0">
      <alignment vertical="center" wrapText="1"/>
    </xf>
    <xf numFmtId="167" fontId="5" fillId="4" borderId="2" applyAlignment="1" pivotButton="0" quotePrefix="0" xfId="0">
      <alignment horizontal="right" vertical="center" indent="1"/>
    </xf>
    <xf numFmtId="167" fontId="7" fillId="4" borderId="2" applyAlignment="1" pivotButton="0" quotePrefix="0" xfId="0">
      <alignment horizontal="right" vertical="center" indent="1"/>
    </xf>
    <xf numFmtId="167" fontId="8" fillId="2" borderId="7" applyAlignment="1" pivotButton="0" quotePrefix="0" xfId="0">
      <alignment horizontal="right" vertical="center" indent="1"/>
    </xf>
    <xf numFmtId="0" fontId="0" fillId="0" borderId="2" pivotButton="0" quotePrefix="0" xfId="0"/>
    <xf numFmtId="0" fontId="5" fillId="0" borderId="2" pivotButton="0" quotePrefix="0" xfId="0"/>
    <xf numFmtId="164" fontId="0" fillId="0" borderId="2" applyAlignment="1" pivotButton="0" quotePrefix="0" xfId="0">
      <alignment horizontal="right" vertical="center" indent="1"/>
    </xf>
    <xf numFmtId="0" fontId="7" fillId="0" borderId="2" pivotButton="0" quotePrefix="0" xfId="0"/>
    <xf numFmtId="164" fontId="7" fillId="0" borderId="2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66725" cy="495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66725" cy="495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66725" cy="495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6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56" customWidth="1" min="3" max="3"/>
  </cols>
  <sheetData>
    <row r="1" ht="24" customHeight="1">
      <c r="A1" s="1" t="n"/>
      <c r="B1" s="2" t="inlineStr">
        <is>
          <t>S-1902 — SOMMAIRE DU CHIFFRAGE</t>
        </is>
      </c>
    </row>
    <row r="2" ht="18" customHeight="1">
      <c r="A2" s="1" t="n"/>
      <c r="B2" s="3" t="inlineStr">
        <is>
          <t>Bibliothèque Georgette-Lepage (Brossard) — RFID — AO SP-GTER-26-0080 — R.D.J. E-26-75-GE</t>
        </is>
      </c>
    </row>
    <row r="3">
      <c r="A3" s="4" t="n"/>
      <c r="B3" s="4" t="n"/>
      <c r="C3" s="4" t="n"/>
    </row>
    <row r="4" ht="15" customHeight="1">
      <c r="A4" s="5" t="inlineStr">
        <is>
          <t>PRIX SOUMIS (avant taxes)</t>
        </is>
      </c>
      <c r="B4" s="5" t="inlineStr">
        <is>
          <t>HEURES CHARGÉES</t>
        </is>
      </c>
      <c r="C4" s="5" t="inlineStr">
        <is>
          <t>SOMMAIRE ACCEO (matériel + MO, admin/profit 0 %)</t>
        </is>
      </c>
    </row>
    <row r="5" ht="28" customHeight="1">
      <c r="A5" s="6" t="n">
        <v>233000</v>
      </c>
      <c r="B5" s="7" t="n">
        <v>1050</v>
      </c>
      <c r="C5" s="8" t="n">
        <v>187626.86</v>
      </c>
    </row>
    <row r="7" ht="20" customHeight="1">
      <c r="A7" s="9" t="inlineStr">
        <is>
          <t>1. CALCUL (méthode Dupuis — Expert Estimateur / ACCEO)</t>
        </is>
      </c>
      <c r="B7" s="4" t="n"/>
      <c r="C7" s="4" t="n"/>
    </row>
    <row r="8" ht="18" customHeight="1">
      <c r="A8" s="10" t="inlineStr">
        <is>
          <t>Poste</t>
        </is>
      </c>
      <c r="B8" s="10" t="inlineStr">
        <is>
          <t>Valeur</t>
        </is>
      </c>
      <c r="C8" s="10" t="inlineStr">
        <is>
          <t>Source / preuve</t>
        </is>
      </c>
    </row>
    <row r="9" ht="17" customHeight="1">
      <c r="A9" s="11" t="inlineStr">
        <is>
          <t>Taux horaire</t>
        </is>
      </c>
      <c r="B9" s="12" t="n">
        <v>85</v>
      </c>
      <c r="C9" s="13" t="inlineStr">
        <is>
          <t>Dupuis, août–oct. 2026 : S-1797, S-1835, S-1854, S-1881</t>
        </is>
      </c>
    </row>
    <row r="10" ht="17" customHeight="1">
      <c r="A10" s="14" t="inlineStr">
        <is>
          <t>Matériel + lots fournisseur (prix vendant Dupuis)</t>
        </is>
      </c>
      <c r="B10" s="15">
        <f>Détail!H101</f>
        <v/>
      </c>
      <c r="C10" s="16" t="inlineStr">
        <is>
          <t>Feuille Détail — dernière valeur du catalogue par article</t>
        </is>
      </c>
    </row>
    <row r="11" ht="17" customHeight="1">
      <c r="A11" s="11" t="inlineStr">
        <is>
          <t>Heures relevées</t>
        </is>
      </c>
      <c r="B11" s="17">
        <f>Détail!I101</f>
        <v/>
      </c>
      <c r="C11" s="13" t="inlineStr">
        <is>
          <t>Feuille Détail — temps unitaires Dupuis</t>
        </is>
      </c>
    </row>
    <row r="12" ht="17" customHeight="1">
      <c r="A12" s="14" t="inlineStr">
        <is>
          <t>Heures chargées (arrondi vers le haut, multiple de 10)</t>
        </is>
      </c>
      <c r="B12" s="18">
        <f>CEILING(B11,10)</f>
        <v/>
      </c>
      <c r="C12" s="16" t="inlineStr">
        <is>
          <t>Pratique Dupuis (S-1881 : 4 128,6 → 4 150 h)</t>
        </is>
      </c>
    </row>
    <row r="13" ht="17" customHeight="1">
      <c r="A13" s="11" t="inlineStr">
        <is>
          <t>Main-d'œuvre = heures chargées × taux</t>
        </is>
      </c>
      <c r="B13" s="19">
        <f>B12*B9</f>
        <v/>
      </c>
      <c r="C13" s="13" t="inlineStr"/>
    </row>
    <row r="14" ht="28" customHeight="1">
      <c r="A14" s="14" t="inlineStr">
        <is>
          <t>Sommaire ACCEO = matériel + main-d'œuvre</t>
        </is>
      </c>
      <c r="B14" s="15">
        <f>B10+B13</f>
        <v/>
      </c>
      <c r="C14" s="16" t="inlineStr">
        <is>
          <t>Admin/profit 0 % — équivalent de son « Grand total » ; part MO 48% (Dupuis : 30–69 %)</t>
        </is>
      </c>
    </row>
    <row r="15" ht="17" customHeight="1">
      <c r="A15" s="11" t="inlineStr">
        <is>
          <t>Facteur de passage au prix de vente</t>
        </is>
      </c>
      <c r="B15" s="20" t="n">
        <v>1.244</v>
      </c>
      <c r="C15" s="13" t="inlineStr">
        <is>
          <t>S-1844 : prix remis 238 744 $ ÷ sommaire ACCEO 191 909,19 $</t>
        </is>
      </c>
    </row>
    <row r="16" ht="17" customHeight="1">
      <c r="A16" s="14" t="inlineStr">
        <is>
          <t>Prix de vente calculé</t>
        </is>
      </c>
      <c r="B16" s="21">
        <f>ROUND(B14*B15,0)</f>
        <v/>
      </c>
      <c r="C16" s="16" t="inlineStr"/>
    </row>
    <row r="17" ht="17" customHeight="1">
      <c r="A17" s="22" t="inlineStr">
        <is>
          <t>PRIX SOUMIS (arrondi au millier)</t>
        </is>
      </c>
      <c r="B17" s="23" t="n">
        <v>233000</v>
      </c>
      <c r="C17" s="24" t="inlineStr">
        <is>
          <t>Somme des articles de la soumission (PDF)</t>
        </is>
      </c>
    </row>
    <row r="19" ht="20" customHeight="1">
      <c r="A19" s="9" t="inlineStr">
        <is>
          <t>2. COMPARAISONS</t>
        </is>
      </c>
      <c r="B19" s="4" t="n"/>
      <c r="C19" s="4" t="n"/>
    </row>
    <row r="20" ht="18" customHeight="1">
      <c r="A20" s="10" t="inlineStr">
        <is>
          <t>Version</t>
        </is>
      </c>
      <c r="B20" s="10" t="inlineStr">
        <is>
          <t>Prix avant taxes</t>
        </is>
      </c>
      <c r="C20" s="10" t="inlineStr">
        <is>
          <t>Base</t>
        </is>
      </c>
    </row>
    <row r="21" ht="17" customHeight="1">
      <c r="A21" s="11" t="inlineStr">
        <is>
          <t>Estimation_2 — Léna AI, 2026-10-08</t>
        </is>
      </c>
      <c r="B21" s="25" t="n">
        <v>112381.39</v>
      </c>
      <c r="C21" s="13" t="inlineStr">
        <is>
          <t>719,5 h × 124 $ + Lumen 23 160 $ ; sans FG, profit ni sous-traitance</t>
        </is>
      </c>
    </row>
    <row r="22" ht="17" customHeight="1">
      <c r="A22" s="14" t="inlineStr">
        <is>
          <t>v2 — 2026-10-20 (midi)</t>
        </is>
      </c>
      <c r="B22" s="21" t="n">
        <v>158296</v>
      </c>
      <c r="C22" s="16" t="inlineStr">
        <is>
          <t>745 h × 113,50 $ pondéré + matériel + allocations</t>
        </is>
      </c>
    </row>
    <row r="23" ht="17" customHeight="1">
      <c r="A23" s="11" t="inlineStr">
        <is>
          <t>v3 — méthode Dupuis, médianes conduits</t>
        </is>
      </c>
      <c r="B23" s="25" t="n">
        <v>183000</v>
      </c>
      <c r="C23" s="13" t="inlineStr">
        <is>
          <t>990 h ; conduits aux valeurs médianes du catalogue</t>
        </is>
      </c>
    </row>
    <row r="24" ht="17" customHeight="1">
      <c r="A24" s="14" t="inlineStr">
        <is>
          <t>v4 — méthode Dupuis, dernières valeurs du catalogue</t>
        </is>
      </c>
      <c r="B24" s="21" t="n">
        <v>194000</v>
      </c>
      <c r="C24" s="16" t="inlineStr">
        <is>
          <t>1 050 h ; luminaires 11 893 $ (allocation Gerrie/agents)</t>
        </is>
      </c>
    </row>
    <row r="25" ht="17" customHeight="1">
      <c r="A25" s="22" t="inlineStr">
        <is>
          <t>v5 — ADD E-01, lot éclairage Hi-Tech R1 (ce classeur)</t>
        </is>
      </c>
      <c r="B25" s="23" t="n">
        <v>233000</v>
      </c>
      <c r="C25" s="24" t="inlineStr">
        <is>
          <t>42 820,79 $ fermes (30 jours) ; E/Z6, NF et JCI toujours en allocation</t>
        </is>
      </c>
    </row>
    <row r="27" ht="20" customHeight="1">
      <c r="A27" s="9" t="inlineStr">
        <is>
          <t>3. LOTS FOURNISSEUR INCLUS DANS LE MATÉRIEL (source de chaque montant dans la colonne de droite)</t>
        </is>
      </c>
      <c r="B27" s="4" t="n"/>
      <c r="C27" s="4" t="n"/>
    </row>
    <row r="28" ht="18" customHeight="1">
      <c r="A28" s="10" t="inlineStr">
        <is>
          <t>Poste</t>
        </is>
      </c>
      <c r="B28" s="10" t="inlineStr">
        <is>
          <t>Montant ($)</t>
        </is>
      </c>
      <c r="C28" s="10" t="inlineStr">
        <is>
          <t>Source (soumission reçue ou allocation à confirmer)</t>
        </is>
      </c>
    </row>
    <row r="29" ht="17" customHeight="1">
      <c r="A29" s="11" t="inlineStr">
        <is>
          <t>Scan GPR de la dalle</t>
        </is>
      </c>
      <c r="B29" s="19" t="n">
        <v>1250</v>
      </c>
      <c r="C29" s="13" t="inlineStr">
        <is>
          <t>Dupuis « SCAN DALLE BETON » 1 250 $</t>
        </is>
      </c>
    </row>
    <row r="30" ht="28" customHeight="1">
      <c r="A30" s="14" t="inlineStr">
        <is>
          <t>Luminaires ADD E-01 : A1 Cooper ×10, Axis Slate ×32, Pinnacle M/M1 ×5</t>
        </is>
      </c>
      <c r="B30" s="15" t="n">
        <v>42820.79</v>
      </c>
      <c r="C30" s="16" t="inlineStr">
        <is>
          <t>SOUMISSION Hi-Tech S100946-R1 (2026-10-23), 30 j ; douanes/transport Pinnacle en sus</t>
        </is>
      </c>
    </row>
    <row r="31" ht="17" customHeight="1">
      <c r="A31" s="26" t="inlineStr">
        <is>
          <t>Luminaires E ×3 (475 $) et Z6 ×3 (161,60 $)</t>
        </is>
      </c>
      <c r="B31" s="27" t="n">
        <v>1909.8</v>
      </c>
      <c r="C31" s="28" t="inlineStr">
        <is>
          <t>ALLOCATION Gerrie/agents — absents de Hi-Tech R1, à confirmer</t>
        </is>
      </c>
    </row>
    <row r="32" ht="28" customHeight="1">
      <c r="A32" s="26" t="inlineStr">
        <is>
          <t>Panneau NF 225 A 42 cct + disjoncteurs EDB/EJB</t>
        </is>
      </c>
      <c r="B32" s="27" t="n">
        <v>6200</v>
      </c>
      <c r="C32" s="28" t="inlineStr">
        <is>
          <t>ALLOCATION — retenue par Frank 2026-10-20, aucune soumission Guillevin/Electrimat</t>
        </is>
      </c>
    </row>
    <row r="33" ht="17" customHeight="1">
      <c r="A33" s="26" t="inlineStr">
        <is>
          <t>2 détecteurs Simplex 4098-9714 + bases (JCI)</t>
        </is>
      </c>
      <c r="B33" s="27" t="n">
        <v>600</v>
      </c>
      <c r="C33" s="28" t="inlineStr">
        <is>
          <t>ALLOCATION — retenue par Frank 2026-10-20</t>
        </is>
      </c>
    </row>
    <row r="34" ht="28" customHeight="1">
      <c r="A34" s="26" t="inlineStr">
        <is>
          <t>Services JCI/Simplex (bypass, 4007ES, annonciateur, ULC-S537)</t>
        </is>
      </c>
      <c r="B34" s="27" t="n">
        <v>7400</v>
      </c>
      <c r="C34" s="28" t="inlineStr">
        <is>
          <t>ALLOCATION — retenue par Frank 2026-10-20, prix JCI demandé par Jo 2026-10-08</t>
        </is>
      </c>
    </row>
    <row r="36" ht="20" customHeight="1">
      <c r="A36" s="9" t="inlineStr">
        <is>
          <t>4. VENTILATION PAR ARTICLE DU BORDEREAU (Annexe 2.00, prix soumis avant taxes)</t>
        </is>
      </c>
      <c r="B36" s="4" t="n"/>
      <c r="C36" s="4" t="n"/>
    </row>
    <row r="37" ht="18" customHeight="1">
      <c r="A37" s="10" t="inlineStr">
        <is>
          <t>Article — description (bordereau R.D.J.)</t>
        </is>
      </c>
      <c r="B37" s="10" t="inlineStr">
        <is>
          <t>Prix soumis ($)</t>
        </is>
      </c>
      <c r="C37" s="10" t="inlineStr">
        <is>
          <t>Base ACCEO</t>
        </is>
      </c>
    </row>
    <row r="38" ht="17" customHeight="1">
      <c r="A38" s="11" t="inlineStr">
        <is>
          <t>3.22 — Démontage des éléments électriques</t>
        </is>
      </c>
      <c r="B38" s="25" t="n">
        <v>11467</v>
      </c>
      <c r="C38" s="13" t="inlineStr">
        <is>
          <t>0 $ matériel · 108,3 h</t>
        </is>
      </c>
    </row>
    <row r="39" ht="17" customHeight="1">
      <c r="A39" s="14" t="inlineStr">
        <is>
          <t>3.23 — Raccordement des équipements mécaniques</t>
        </is>
      </c>
      <c r="B39" s="21" t="n">
        <v>9161</v>
      </c>
      <c r="C39" s="16" t="inlineStr">
        <is>
          <t>2 799 $ matériel · 53,7 h</t>
        </is>
      </c>
    </row>
    <row r="40" ht="17" customHeight="1">
      <c r="A40" s="11" t="inlineStr">
        <is>
          <t>3.24 — Nouveau panneau 600 V</t>
        </is>
      </c>
      <c r="B40" s="25" t="n">
        <v>10791</v>
      </c>
      <c r="C40" s="13" t="inlineStr">
        <is>
          <t>6 335 $ matériel · 27,5 h</t>
        </is>
      </c>
    </row>
    <row r="41" ht="17" customHeight="1">
      <c r="A41" s="14" t="inlineStr">
        <is>
          <t>3.25 — Lot disjoncteurs</t>
        </is>
      </c>
      <c r="B41" s="21" t="n">
        <v>804</v>
      </c>
      <c r="C41" s="16" t="inlineStr">
        <is>
          <t>0 $ matériel · 7,6 h</t>
        </is>
      </c>
    </row>
    <row r="42" ht="17" customHeight="1">
      <c r="A42" s="11" t="inlineStr">
        <is>
          <t>3.26 — MCC</t>
        </is>
      </c>
      <c r="B42" s="25" t="n">
        <v>461</v>
      </c>
      <c r="C42" s="13" t="inlineStr">
        <is>
          <t>30 $ matériel · 4,0 h</t>
        </is>
      </c>
    </row>
    <row r="43" ht="17" customHeight="1">
      <c r="A43" s="14" t="inlineStr">
        <is>
          <t>3.27 — Prises doubles 15 A-120 V – USB</t>
        </is>
      </c>
      <c r="B43" s="21" t="n">
        <v>6358</v>
      </c>
      <c r="C43" s="16" t="inlineStr">
        <is>
          <t>2 197 $ matériel · 34,2 h</t>
        </is>
      </c>
    </row>
    <row r="44" ht="17" customHeight="1">
      <c r="A44" s="11" t="inlineStr">
        <is>
          <t>3.28 — Prises doubles 15 A-120 V</t>
        </is>
      </c>
      <c r="B44" s="25" t="n">
        <v>15035</v>
      </c>
      <c r="C44" s="13" t="inlineStr">
        <is>
          <t>4 260 $ matériel · 92,0 h</t>
        </is>
      </c>
    </row>
    <row r="45" ht="17" customHeight="1">
      <c r="A45" s="14" t="inlineStr">
        <is>
          <t>3.29 — Prises doubles 15 A-120 V MALT isolées</t>
        </is>
      </c>
      <c r="B45" s="21" t="n">
        <v>4838</v>
      </c>
      <c r="C45" s="16" t="inlineStr">
        <is>
          <t>1 690 $ matériel · 25,9 h</t>
        </is>
      </c>
    </row>
    <row r="46" ht="17" customHeight="1">
      <c r="A46" s="11" t="inlineStr">
        <is>
          <t>3.30 — Prises doubles 15 A-120 V GFI</t>
        </is>
      </c>
      <c r="B46" s="25" t="n">
        <v>219</v>
      </c>
      <c r="C46" s="13" t="inlineStr">
        <is>
          <t>65 $ matériel · 1,3 h</t>
        </is>
      </c>
    </row>
    <row r="47" ht="17" customHeight="1">
      <c r="A47" s="14" t="inlineStr">
        <is>
          <t>3.31 — Percements, conduit, filage et boîtes de jonction</t>
        </is>
      </c>
      <c r="B47" s="21" t="n">
        <v>49257</v>
      </c>
      <c r="C47" s="16" t="inlineStr">
        <is>
          <t>14 432 $ matériel · 299,6 h</t>
        </is>
      </c>
    </row>
    <row r="48" ht="17" customHeight="1">
      <c r="A48" s="11" t="inlineStr">
        <is>
          <t>3.32 — Scan dalle béton</t>
        </is>
      </c>
      <c r="B48" s="25" t="n">
        <v>1767</v>
      </c>
      <c r="C48" s="13" t="inlineStr">
        <is>
          <t>1 250 $ matériel · 2,0 h</t>
        </is>
      </c>
    </row>
    <row r="49" ht="17" customHeight="1">
      <c r="A49" s="14" t="inlineStr">
        <is>
          <t>3.33 — Sorties informatique/réseau</t>
        </is>
      </c>
      <c r="B49" s="21" t="n">
        <v>18011</v>
      </c>
      <c r="C49" s="16" t="inlineStr">
        <is>
          <t>3 311 $ matériel · 131,3 h</t>
        </is>
      </c>
    </row>
    <row r="50" ht="17" customHeight="1">
      <c r="A50" s="11" t="inlineStr">
        <is>
          <t>3.34 — Monument plancher</t>
        </is>
      </c>
      <c r="B50" s="25" t="n">
        <v>4681</v>
      </c>
      <c r="C50" s="13" t="inlineStr">
        <is>
          <t>3 422 $ matériel · 4,0 h</t>
        </is>
      </c>
    </row>
    <row r="51" ht="17" customHeight="1">
      <c r="A51" s="14" t="inlineStr">
        <is>
          <t>3.35 — Appareils de contrôle + appareils d'éclairage</t>
        </is>
      </c>
      <c r="B51" s="21" t="n">
        <v>81967</v>
      </c>
      <c r="C51" s="16" t="inlineStr">
        <is>
          <t>50 407 $ matériel · 182,0 h</t>
        </is>
      </c>
    </row>
    <row r="52" ht="17" customHeight="1">
      <c r="A52" s="11" t="inlineStr">
        <is>
          <t>3.36 — Détecteur de fumée</t>
        </is>
      </c>
      <c r="B52" s="25" t="n">
        <v>1950</v>
      </c>
      <c r="C52" s="13" t="inlineStr">
        <is>
          <t>779 $ matériel · 9,3 h</t>
        </is>
      </c>
    </row>
    <row r="53" ht="17" customHeight="1">
      <c r="A53" s="14" t="inlineStr">
        <is>
          <t>3.37 — Panneau alarme incendie : déplacement annonciateur</t>
        </is>
      </c>
      <c r="B53" s="21" t="n">
        <v>2117</v>
      </c>
      <c r="C53" s="16" t="inlineStr">
        <is>
          <t>0 $ matériel · 20,0 h</t>
        </is>
      </c>
    </row>
    <row r="54" ht="28" customHeight="1">
      <c r="A54" s="11" t="inlineStr">
        <is>
          <t>3.38 — Panneau alarme incendie : mise en marche et certification</t>
        </is>
      </c>
      <c r="B54" s="25" t="n">
        <v>10052</v>
      </c>
      <c r="C54" s="13" t="inlineStr">
        <is>
          <t>7 400 $ matériel · 8,0 h</t>
        </is>
      </c>
    </row>
    <row r="55" ht="17" customHeight="1">
      <c r="A55" s="14" t="inlineStr">
        <is>
          <t>5.19 — Démolition des systèmes électriques</t>
        </is>
      </c>
      <c r="B55" s="21" t="n">
        <v>4064</v>
      </c>
      <c r="C55" s="16" t="inlineStr">
        <is>
          <t>0 $ matériel · 38,4 h</t>
        </is>
      </c>
    </row>
    <row r="56" ht="17" customHeight="1">
      <c r="A56" s="22" t="inlineStr">
        <is>
          <t>TOTAL ÉLECTRICITÉ, avant taxes</t>
        </is>
      </c>
      <c r="B56" s="23">
        <f>SUM(B38:B55)</f>
        <v/>
      </c>
      <c r="C56" s="24" t="inlineStr"/>
    </row>
  </sheetData>
  <mergeCells count="2">
    <mergeCell ref="B1:C1"/>
    <mergeCell ref="B2:C2"/>
  </mergeCells>
  <pageMargins left="0.4" right="0.4" top="0.6" bottom="0.6" header="0.3" footer="0.3"/>
  <pageSetup orientation="portrait" paperSize="1" fitToHeight="1" fitToWidth="1"/>
  <headerFooter>
    <oddHeader>&amp;L&amp;"Arial,Bold"&amp;9Le Groupe DR Électrique inc. — S-1902 Bibliothèque Georgette-Lepage&amp;R&amp;9Chiffrage méthode Dupuis — 2026-10-26</oddHeader>
    <oddFooter>&amp;L&amp;8DR Électrique inc. | Merci de votre confiance&amp;R&amp;8Page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0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6" customWidth="1" min="2" max="2"/>
    <col width="8" customWidth="1" min="3" max="3"/>
    <col width="7" customWidth="1" min="4" max="4"/>
    <col width="12" customWidth="1" min="5" max="5"/>
    <col width="10" customWidth="1" min="6" max="6"/>
    <col width="9" customWidth="1" min="7" max="7"/>
    <col width="13" customWidth="1" min="8" max="8"/>
    <col width="10" customWidth="1" min="9" max="9"/>
    <col width="58" customWidth="1" min="10" max="10"/>
  </cols>
  <sheetData>
    <row r="1" ht="24" customHeight="1">
      <c r="A1" s="1" t="n"/>
      <c r="B1" s="2" t="inlineStr">
        <is>
          <t>S-1902 — DÉTAIL DU CHIFFRAGE (méthode Dupuis / ACCEO)</t>
        </is>
      </c>
    </row>
    <row r="2" ht="18" customHeight="1">
      <c r="A2" s="1" t="n"/>
      <c r="B2" s="3" t="inlineStr">
        <is>
          <t>Chaque ligne = quantité × prix vendant d’assemblage de M. Dupuis (dernier prix de ses relevés 2026) et quantité × son temps unitaire.  Bleu = intrant · Jaune = heures de jugement ou allocation sans soumission · Noir = formule.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28" customHeight="1">
      <c r="A4" s="10" t="inlineStr">
        <is>
          <t>Code</t>
        </is>
      </c>
      <c r="B4" s="10" t="inlineStr">
        <is>
          <t>Description</t>
        </is>
      </c>
      <c r="C4" s="10" t="inlineStr">
        <is>
          <t>Qté</t>
        </is>
      </c>
      <c r="D4" s="10" t="inlineStr">
        <is>
          <t>Unité</t>
        </is>
      </c>
      <c r="E4" s="10" t="inlineStr">
        <is>
          <t>Prix unit.
vendant ($)</t>
        </is>
      </c>
      <c r="F4" s="10" t="inlineStr">
        <is>
          <t>Temps unit.
(h)</t>
        </is>
      </c>
      <c r="G4" s="10" t="inlineStr">
        <is>
          <t>Article
bordereau</t>
        </is>
      </c>
      <c r="H4" s="10" t="inlineStr">
        <is>
          <t>Matériel ($)</t>
        </is>
      </c>
      <c r="I4" s="10" t="inlineStr">
        <is>
          <t>Heures</t>
        </is>
      </c>
      <c r="J4" s="10" t="inlineStr">
        <is>
          <t>Source (catalogue Dupuis / allocation)</t>
        </is>
      </c>
    </row>
    <row r="5">
      <c r="A5" s="29" t="inlineStr">
        <is>
          <t>5.19 / 3.22 — DÉMANTÈLEMENT, RELOCALISATION, TRAVAUX TEMPORAIRES</t>
        </is>
      </c>
      <c r="B5" s="30" t="n"/>
      <c r="C5" s="30" t="n"/>
      <c r="D5" s="30" t="n"/>
      <c r="E5" s="30" t="n"/>
      <c r="F5" s="30" t="n"/>
      <c r="G5" s="30" t="n"/>
      <c r="H5" s="30" t="n"/>
      <c r="I5" s="30" t="n"/>
      <c r="J5" s="31" t="n"/>
    </row>
    <row r="6" ht="24" customHeight="1">
      <c r="A6" s="32" t="inlineStr">
        <is>
          <t>A-01</t>
        </is>
      </c>
      <c r="B6" s="11" t="inlineStr">
        <is>
          <t>Démantèlement luminaires existants RDC (E.A.E)</t>
        </is>
      </c>
      <c r="C6" s="33" t="n">
        <v>39</v>
      </c>
      <c r="D6" s="32" t="inlineStr">
        <is>
          <t>u</t>
        </is>
      </c>
      <c r="E6" s="34" t="n">
        <v>0</v>
      </c>
      <c r="F6" s="35" t="n">
        <v>0.5</v>
      </c>
      <c r="G6" s="32" t="inlineStr">
        <is>
          <t>5.19</t>
        </is>
      </c>
      <c r="H6" s="36">
        <f>C6*E6</f>
        <v/>
      </c>
      <c r="I6" s="37">
        <f>C6*F6</f>
        <v/>
      </c>
      <c r="J6" s="11" t="inlineStr">
        <is>
          <t>Dupuis « FIXTURE ENLEVE » 0,5 h (S-1844 ×204)</t>
        </is>
      </c>
    </row>
    <row r="7" ht="24" customHeight="1">
      <c r="A7" s="38" t="inlineStr">
        <is>
          <t>A-02</t>
        </is>
      </c>
      <c r="B7" s="14" t="inlineStr">
        <is>
          <t>Démantèlement luminaires existants étage (E.A.E)</t>
        </is>
      </c>
      <c r="C7" s="39" t="n">
        <v>7</v>
      </c>
      <c r="D7" s="38" t="inlineStr">
        <is>
          <t>u</t>
        </is>
      </c>
      <c r="E7" s="40" t="n">
        <v>0</v>
      </c>
      <c r="F7" s="41" t="n">
        <v>0.5</v>
      </c>
      <c r="G7" s="38" t="inlineStr">
        <is>
          <t>5.19</t>
        </is>
      </c>
      <c r="H7" s="42">
        <f>C7*E7</f>
        <v/>
      </c>
      <c r="I7" s="43">
        <f>C7*F7</f>
        <v/>
      </c>
      <c r="J7" s="14" t="inlineStr">
        <is>
          <t>idem</t>
        </is>
      </c>
    </row>
    <row r="8" ht="24" customHeight="1">
      <c r="A8" s="32" t="inlineStr">
        <is>
          <t>A-03</t>
        </is>
      </c>
      <c r="B8" s="11" t="inlineStr">
        <is>
          <t>Démantèlement services RDC (prises, boîtes, câbles) E.A.E</t>
        </is>
      </c>
      <c r="C8" s="33" t="n">
        <v>34</v>
      </c>
      <c r="D8" s="32" t="inlineStr">
        <is>
          <t>u</t>
        </is>
      </c>
      <c r="E8" s="34" t="n">
        <v>0</v>
      </c>
      <c r="F8" s="35" t="n">
        <v>0.35</v>
      </c>
      <c r="G8" s="32" t="inlineStr">
        <is>
          <t>5.19</t>
        </is>
      </c>
      <c r="H8" s="36">
        <f>C8*E8</f>
        <v/>
      </c>
      <c r="I8" s="37">
        <f>C8*F8</f>
        <v/>
      </c>
      <c r="J8" s="11" t="inlineStr">
        <is>
          <t>Dupuis « ENLEVER PRISE » 0,35 h</t>
        </is>
      </c>
    </row>
    <row r="9" ht="24" customHeight="1">
      <c r="A9" s="38" t="inlineStr">
        <is>
          <t>A-04</t>
        </is>
      </c>
      <c r="B9" s="14" t="inlineStr">
        <is>
          <t>Démantèlement services étage (E.A.E)</t>
        </is>
      </c>
      <c r="C9" s="39" t="n">
        <v>10</v>
      </c>
      <c r="D9" s="38" t="inlineStr">
        <is>
          <t>u</t>
        </is>
      </c>
      <c r="E9" s="40" t="n">
        <v>0</v>
      </c>
      <c r="F9" s="41" t="n">
        <v>0.35</v>
      </c>
      <c r="G9" s="38" t="inlineStr">
        <is>
          <t>5.19</t>
        </is>
      </c>
      <c r="H9" s="42">
        <f>C9*E9</f>
        <v/>
      </c>
      <c r="I9" s="43">
        <f>C9*F9</f>
        <v/>
      </c>
      <c r="J9" s="14" t="inlineStr">
        <is>
          <t>idem</t>
        </is>
      </c>
    </row>
    <row r="10" ht="24" customHeight="1">
      <c r="A10" s="32" t="inlineStr">
        <is>
          <t>A-05</t>
        </is>
      </c>
      <c r="B10" s="11" t="inlineStr">
        <is>
          <t>Relocalisation équipements services (E.A.R) RDC + étage</t>
        </is>
      </c>
      <c r="C10" s="33" t="n">
        <v>13</v>
      </c>
      <c r="D10" s="32" t="inlineStr">
        <is>
          <t>u</t>
        </is>
      </c>
      <c r="E10" s="34" t="n">
        <v>0</v>
      </c>
      <c r="F10" s="35" t="n">
        <v>1.5</v>
      </c>
      <c r="G10" s="32" t="inlineStr">
        <is>
          <t>3.22</t>
        </is>
      </c>
      <c r="H10" s="36">
        <f>C10*E10</f>
        <v/>
      </c>
      <c r="I10" s="37">
        <f>C10*F10</f>
        <v/>
      </c>
      <c r="J10" s="11" t="inlineStr">
        <is>
          <t>Dupuis « RELO PRISE » 1,5 h (dernier, S-1753 2026-05-05)</t>
        </is>
      </c>
    </row>
    <row r="11" ht="24" customHeight="1">
      <c r="A11" s="38" t="inlineStr">
        <is>
          <t>A-06</t>
        </is>
      </c>
      <c r="B11" s="14" t="inlineStr">
        <is>
          <t>Relocalisation luminaires (E.A.R) RDC + étage</t>
        </is>
      </c>
      <c r="C11" s="39" t="n">
        <v>7</v>
      </c>
      <c r="D11" s="38" t="inlineStr">
        <is>
          <t>u</t>
        </is>
      </c>
      <c r="E11" s="40" t="n">
        <v>0</v>
      </c>
      <c r="F11" s="41" t="n">
        <v>1</v>
      </c>
      <c r="G11" s="38" t="inlineStr">
        <is>
          <t>3.22</t>
        </is>
      </c>
      <c r="H11" s="42">
        <f>C11*E11</f>
        <v/>
      </c>
      <c r="I11" s="43">
        <f>C11*F11</f>
        <v/>
      </c>
      <c r="J11" s="14" t="inlineStr">
        <is>
          <t>Dupuis « RELO ENCASTRE » 1 h</t>
        </is>
      </c>
    </row>
    <row r="12" ht="24" customHeight="1">
      <c r="A12" s="32" t="inlineStr">
        <is>
          <t>A-07</t>
        </is>
      </c>
      <c r="B12" s="11" t="inlineStr">
        <is>
          <t>Relocalisation interrupteurs maîtres du hall (note 1 E-201)</t>
        </is>
      </c>
      <c r="C12" s="33" t="n">
        <v>1</v>
      </c>
      <c r="D12" s="32" t="inlineStr">
        <is>
          <t>lot</t>
        </is>
      </c>
      <c r="E12" s="44" t="n">
        <v>0</v>
      </c>
      <c r="F12" s="45" t="n">
        <v>6</v>
      </c>
      <c r="G12" s="32" t="inlineStr">
        <is>
          <t>3.22</t>
        </is>
      </c>
      <c r="H12" s="36">
        <f>C12*E12</f>
        <v/>
      </c>
      <c r="I12" s="37">
        <f>C12*F12</f>
        <v/>
      </c>
      <c r="J12" s="11" t="inlineStr">
        <is>
          <t>jugement (Estimation_2)</t>
        </is>
      </c>
    </row>
    <row r="13" ht="24" customHeight="1">
      <c r="A13" s="38" t="inlineStr">
        <is>
          <t>A-08</t>
        </is>
      </c>
      <c r="B13" s="14" t="inlineStr">
        <is>
          <t>FabLab 210 : retrait temporaire + réinstallation luminaires linéaires</t>
        </is>
      </c>
      <c r="C13" s="39" t="n">
        <v>21</v>
      </c>
      <c r="D13" s="38" t="inlineStr">
        <is>
          <t>u</t>
        </is>
      </c>
      <c r="E13" s="40" t="n">
        <v>0</v>
      </c>
      <c r="F13" s="41" t="n">
        <v>0.85</v>
      </c>
      <c r="G13" s="38" t="inlineStr">
        <is>
          <t>3.22</t>
        </is>
      </c>
      <c r="H13" s="42">
        <f>C13*E13</f>
        <v/>
      </c>
      <c r="I13" s="43">
        <f>C13*F13</f>
        <v/>
      </c>
      <c r="J13" s="14" t="inlineStr">
        <is>
          <t>Dupuis FIXTURE ENLEVE 0,5 + réinstall. 0,35 (ENLEVER FIXTURE 1X4)</t>
        </is>
      </c>
    </row>
    <row r="14" ht="24" customHeight="1">
      <c r="A14" s="32" t="inlineStr">
        <is>
          <t>A-09</t>
        </is>
      </c>
      <c r="B14" s="11" t="inlineStr">
        <is>
          <t>FabLab 210 : retrait temporaire + réinstallation encastrés</t>
        </is>
      </c>
      <c r="C14" s="33" t="n">
        <v>24</v>
      </c>
      <c r="D14" s="32" t="inlineStr">
        <is>
          <t>u</t>
        </is>
      </c>
      <c r="E14" s="34" t="n">
        <v>0</v>
      </c>
      <c r="F14" s="35" t="n">
        <v>0.75</v>
      </c>
      <c r="G14" s="32" t="inlineStr">
        <is>
          <t>3.22</t>
        </is>
      </c>
      <c r="H14" s="36">
        <f>C14*E14</f>
        <v/>
      </c>
      <c r="I14" s="37">
        <f>C14*F14</f>
        <v/>
      </c>
      <c r="J14" s="11" t="inlineStr">
        <is>
          <t>Dupuis 0,25 (FIXTURE ENCASTRE ENLEV) + 0,5 (réinstall.)</t>
        </is>
      </c>
    </row>
    <row r="15" ht="36" customHeight="1">
      <c r="A15" s="38" t="inlineStr">
        <is>
          <t>A-10</t>
        </is>
      </c>
      <c r="B15" s="14" t="inlineStr">
        <is>
          <t>Toit : débrancher/entreposer sectionneurs, isoler câbles, rebrancher ventilation (E.A.R)</t>
        </is>
      </c>
      <c r="C15" s="39" t="n">
        <v>6</v>
      </c>
      <c r="D15" s="38" t="inlineStr">
        <is>
          <t>u</t>
        </is>
      </c>
      <c r="E15" s="44" t="n">
        <v>0</v>
      </c>
      <c r="F15" s="45" t="n">
        <v>4</v>
      </c>
      <c r="G15" s="38" t="inlineStr">
        <is>
          <t>3.22</t>
        </is>
      </c>
      <c r="H15" s="42">
        <f>C15*E15</f>
        <v/>
      </c>
      <c r="I15" s="43">
        <f>C15*F15</f>
        <v/>
      </c>
      <c r="J15" s="14" t="inlineStr">
        <is>
          <t>jugement (Estimation_2)</t>
        </is>
      </c>
    </row>
    <row r="16" ht="36" customHeight="1">
      <c r="A16" s="32" t="inlineStr">
        <is>
          <t>A-11</t>
        </is>
      </c>
      <c r="B16" s="11" t="inlineStr">
        <is>
          <t>Continuité de service, traçage circuits, réalimentation circuits libérés</t>
        </is>
      </c>
      <c r="C16" s="33" t="n">
        <v>1</v>
      </c>
      <c r="D16" s="32" t="inlineStr">
        <is>
          <t>lot</t>
        </is>
      </c>
      <c r="E16" s="44" t="n">
        <v>0</v>
      </c>
      <c r="F16" s="45" t="n">
        <v>16</v>
      </c>
      <c r="G16" s="32" t="inlineStr">
        <is>
          <t>3.22</t>
        </is>
      </c>
      <c r="H16" s="36">
        <f>C16*E16</f>
        <v/>
      </c>
      <c r="I16" s="37">
        <f>C16*F16</f>
        <v/>
      </c>
      <c r="J16" s="11" t="inlineStr">
        <is>
          <t>jugement (Estimation_2)</t>
        </is>
      </c>
    </row>
    <row r="17">
      <c r="A17" s="46" t="n"/>
      <c r="B17" s="46" t="inlineStr">
        <is>
          <t>Sous-total section A</t>
        </is>
      </c>
      <c r="C17" s="46" t="n"/>
      <c r="D17" s="46" t="n"/>
      <c r="E17" s="46" t="n"/>
      <c r="F17" s="46" t="n"/>
      <c r="G17" s="46" t="n"/>
      <c r="H17" s="47">
        <f>SUM(H6:H16)</f>
        <v/>
      </c>
      <c r="I17" s="48">
        <f>SUM(I6:I16)</f>
        <v/>
      </c>
      <c r="J17" s="46" t="n"/>
    </row>
    <row r="19">
      <c r="A19" s="29" t="inlineStr">
        <is>
          <t>3.24 à 3.26 — DISTRIBUTION, PANNEAU PP-3, DISJONCTEURS, MCC</t>
        </is>
      </c>
      <c r="B19" s="30" t="n"/>
      <c r="C19" s="30" t="n"/>
      <c r="D19" s="30" t="n"/>
      <c r="E19" s="30" t="n"/>
      <c r="F19" s="30" t="n"/>
      <c r="G19" s="30" t="n"/>
      <c r="H19" s="30" t="n"/>
      <c r="I19" s="30" t="n"/>
      <c r="J19" s="31" t="n"/>
    </row>
    <row r="20" ht="24" customHeight="1">
      <c r="A20" s="32" t="inlineStr">
        <is>
          <t>B-01</t>
        </is>
      </c>
      <c r="B20" s="11" t="inlineStr">
        <is>
          <t>Panneau PP-3 NF 225 A 347/600 V 42 cct 14 kA (remplacement) — pose</t>
        </is>
      </c>
      <c r="C20" s="33" t="n">
        <v>1</v>
      </c>
      <c r="D20" s="32" t="inlineStr">
        <is>
          <t>u</t>
        </is>
      </c>
      <c r="E20" s="34" t="n">
        <v>0</v>
      </c>
      <c r="F20" s="35" t="n">
        <v>8</v>
      </c>
      <c r="G20" s="32" t="inlineStr">
        <is>
          <t>3.24</t>
        </is>
      </c>
      <c r="H20" s="36">
        <f>C20*E20</f>
        <v/>
      </c>
      <c r="I20" s="37">
        <f>C20*F20</f>
        <v/>
      </c>
      <c r="J20" s="11" t="inlineStr">
        <is>
          <t>Dupuis « PANN 200A 347/600V » 8 h ; fourniture au lot</t>
        </is>
      </c>
    </row>
    <row r="21" ht="24" customHeight="1">
      <c r="A21" s="38" t="inlineStr">
        <is>
          <t>B-01b</t>
        </is>
      </c>
      <c r="B21" s="14" t="inlineStr">
        <is>
          <t>Transfert des circuits existants dans PP-3 (14 cct)</t>
        </is>
      </c>
      <c r="C21" s="39" t="n">
        <v>14</v>
      </c>
      <c r="D21" s="38" t="inlineStr">
        <is>
          <t>cct</t>
        </is>
      </c>
      <c r="E21" s="44" t="n">
        <v>0</v>
      </c>
      <c r="F21" s="45" t="n">
        <v>0.75</v>
      </c>
      <c r="G21" s="38" t="inlineStr">
        <is>
          <t>3.24</t>
        </is>
      </c>
      <c r="H21" s="42">
        <f>C21*E21</f>
        <v/>
      </c>
      <c r="I21" s="43">
        <f>C21*F21</f>
        <v/>
      </c>
      <c r="J21" s="14" t="inlineStr">
        <is>
          <t>jugement : 0,75 h/cct</t>
        </is>
      </c>
    </row>
    <row r="22" ht="24" customHeight="1">
      <c r="A22" s="32" t="inlineStr">
        <is>
          <t>B-02</t>
        </is>
      </c>
      <c r="B22" s="11" t="inlineStr">
        <is>
          <t>Disjoncteurs NF 1P-15 A (pose)</t>
        </is>
      </c>
      <c r="C22" s="33" t="n">
        <v>17</v>
      </c>
      <c r="D22" s="32" t="inlineStr">
        <is>
          <t>u</t>
        </is>
      </c>
      <c r="E22" s="34" t="n">
        <v>0</v>
      </c>
      <c r="F22" s="35" t="n">
        <v>0.2</v>
      </c>
      <c r="G22" s="32" t="inlineStr">
        <is>
          <t>3.25</t>
        </is>
      </c>
      <c r="H22" s="36">
        <f>C22*E22</f>
        <v/>
      </c>
      <c r="I22" s="37">
        <f>C22*F22</f>
        <v/>
      </c>
      <c r="J22" s="11" t="inlineStr">
        <is>
          <t>Dupuis « DISJ15A1P » 0,2 h ; fourniture au lot</t>
        </is>
      </c>
    </row>
    <row r="23" ht="24" customHeight="1">
      <c r="A23" s="38" t="inlineStr">
        <is>
          <t>B-03</t>
        </is>
      </c>
      <c r="B23" s="14" t="inlineStr">
        <is>
          <t>Disjoncteurs NF 3P 15/20/40 A (pose)</t>
        </is>
      </c>
      <c r="C23" s="39" t="n">
        <v>3</v>
      </c>
      <c r="D23" s="38" t="inlineStr">
        <is>
          <t>u</t>
        </is>
      </c>
      <c r="E23" s="40" t="n">
        <v>0</v>
      </c>
      <c r="F23" s="41" t="n">
        <v>1</v>
      </c>
      <c r="G23" s="38" t="inlineStr">
        <is>
          <t>3.25</t>
        </is>
      </c>
      <c r="H23" s="42">
        <f>C23*E23</f>
        <v/>
      </c>
      <c r="I23" s="43">
        <f>C23*F23</f>
        <v/>
      </c>
      <c r="J23" s="14" t="inlineStr">
        <is>
          <t>Dupuis « DISJ 100A 3P » 1 h</t>
        </is>
      </c>
    </row>
    <row r="24" ht="24" customHeight="1">
      <c r="A24" s="32" t="inlineStr">
        <is>
          <t>B-04</t>
        </is>
      </c>
      <c r="B24" s="11" t="inlineStr">
        <is>
          <t>Disjoncteurs 1P-15 A DDFT et 1P-20 A (pose)</t>
        </is>
      </c>
      <c r="C24" s="33" t="n">
        <v>3</v>
      </c>
      <c r="D24" s="32" t="inlineStr">
        <is>
          <t>u</t>
        </is>
      </c>
      <c r="E24" s="34" t="n">
        <v>0</v>
      </c>
      <c r="F24" s="35" t="n">
        <v>0.4</v>
      </c>
      <c r="G24" s="32" t="inlineStr">
        <is>
          <t>3.25</t>
        </is>
      </c>
      <c r="H24" s="36">
        <f>C24*E24</f>
        <v/>
      </c>
      <c r="I24" s="37">
        <f>C24*F24</f>
        <v/>
      </c>
      <c r="J24" s="11" t="inlineStr">
        <is>
          <t>Dupuis « DISJ 15A2P » 0,4 h</t>
        </is>
      </c>
    </row>
    <row r="25" ht="24" customHeight="1">
      <c r="A25" s="38" t="inlineStr">
        <is>
          <t>B-09</t>
        </is>
      </c>
      <c r="B25" s="14" t="inlineStr">
        <is>
          <t>Mise à jour fiches + identification 9 panneaux</t>
        </is>
      </c>
      <c r="C25" s="39" t="n">
        <v>9</v>
      </c>
      <c r="D25" s="38" t="inlineStr">
        <is>
          <t>u</t>
        </is>
      </c>
      <c r="E25" s="40" t="n">
        <v>15</v>
      </c>
      <c r="F25" s="41" t="n">
        <v>1</v>
      </c>
      <c r="G25" s="38" t="inlineStr">
        <is>
          <t>3.24</t>
        </is>
      </c>
      <c r="H25" s="42">
        <f>C25*E25</f>
        <v/>
      </c>
      <c r="I25" s="43">
        <f>C25*F25</f>
        <v/>
      </c>
      <c r="J25" s="14" t="inlineStr">
        <is>
          <t>Dupuis lamicoïd ≈ 15 $ ; 1 h (Estimation_2)</t>
        </is>
      </c>
    </row>
    <row r="26" ht="24" customHeight="1">
      <c r="A26" s="32" t="inlineStr">
        <is>
          <t>B-10</t>
        </is>
      </c>
      <c r="B26" s="11" t="inlineStr">
        <is>
          <t>Tiroirs CCM-1 F15A — vérification/réutilisation (MCC)</t>
        </is>
      </c>
      <c r="C26" s="33" t="n">
        <v>2</v>
      </c>
      <c r="D26" s="32" t="inlineStr">
        <is>
          <t>u</t>
        </is>
      </c>
      <c r="E26" s="44" t="n">
        <v>15</v>
      </c>
      <c r="F26" s="45" t="n">
        <v>2</v>
      </c>
      <c r="G26" s="32" t="inlineStr">
        <is>
          <t>3.26</t>
        </is>
      </c>
      <c r="H26" s="36">
        <f>C26*E26</f>
        <v/>
      </c>
      <c r="I26" s="37">
        <f>C26*F26</f>
        <v/>
      </c>
      <c r="J26" s="11" t="inlineStr">
        <is>
          <t>jugement</t>
        </is>
      </c>
    </row>
    <row r="27" ht="36" customHeight="1">
      <c r="A27" s="38" t="inlineStr">
        <is>
          <t>B-LOT</t>
        </is>
      </c>
      <c r="B27" s="14" t="inlineStr">
        <is>
          <t>PRIX DE LOT DISTRIBUTION : panneau NF 225 A 42 cct + 17 disj. 1P-15, 3 disj. 3P, 3 disj. 1P (DDFT/20 A)</t>
        </is>
      </c>
      <c r="C27" s="39" t="n">
        <v>1</v>
      </c>
      <c r="D27" s="38" t="inlineStr">
        <is>
          <t>lot</t>
        </is>
      </c>
      <c r="E27" s="44" t="n">
        <v>6200</v>
      </c>
      <c r="F27" s="45" t="n">
        <v>0</v>
      </c>
      <c r="G27" s="38" t="inlineStr">
        <is>
          <t>3.24</t>
        </is>
      </c>
      <c r="H27" s="42">
        <f>C27*E27</f>
        <v/>
      </c>
      <c r="I27" s="43">
        <f>C27*F27</f>
        <v/>
      </c>
      <c r="J27" s="14" t="inlineStr">
        <is>
          <t>ALLOCATION (Schneider NF 225A 42cct ≈ 3 400 $ + EDB 1P ≈ 95 $ ×20 + EJB 3P ≈ 300 $ ×3) — montant retenu par Frank 2026-10-20, aucune soumission Guillevin/Electrimat reçue</t>
        </is>
      </c>
    </row>
    <row r="28">
      <c r="A28" s="46" t="n"/>
      <c r="B28" s="46" t="inlineStr">
        <is>
          <t>Sous-total section B</t>
        </is>
      </c>
      <c r="C28" s="46" t="n"/>
      <c r="D28" s="46" t="n"/>
      <c r="E28" s="46" t="n"/>
      <c r="F28" s="46" t="n"/>
      <c r="G28" s="46" t="n"/>
      <c r="H28" s="47">
        <f>SUM(H20:H27)</f>
        <v/>
      </c>
      <c r="I28" s="48">
        <f>SUM(I20:I27)</f>
        <v/>
      </c>
      <c r="J28" s="46" t="n"/>
    </row>
    <row r="30">
      <c r="A30" s="29" t="inlineStr">
        <is>
          <t>3.23 — RACCORDEMENTS DES ÉQUIPEMENTS MÉCANIQUES</t>
        </is>
      </c>
      <c r="B30" s="30" t="n"/>
      <c r="C30" s="30" t="n"/>
      <c r="D30" s="30" t="n"/>
      <c r="E30" s="30" t="n"/>
      <c r="F30" s="30" t="n"/>
      <c r="G30" s="30" t="n"/>
      <c r="H30" s="30" t="n"/>
      <c r="I30" s="30" t="n"/>
      <c r="J30" s="31" t="n"/>
    </row>
    <row r="31" ht="36" customHeight="1">
      <c r="A31" s="32" t="inlineStr">
        <is>
          <t>C-01</t>
        </is>
      </c>
      <c r="B31" s="11" t="inlineStr">
        <is>
          <t>UTA-01 575 V/3Ø au toit — raccordement final LFMC + sectionneur d’usine</t>
        </is>
      </c>
      <c r="C31" s="33" t="n">
        <v>1</v>
      </c>
      <c r="D31" s="32" t="inlineStr">
        <is>
          <t>u</t>
        </is>
      </c>
      <c r="E31" s="34" t="n">
        <v>25</v>
      </c>
      <c r="F31" s="35" t="n">
        <v>1</v>
      </c>
      <c r="G31" s="32" t="inlineStr">
        <is>
          <t>3.23</t>
        </is>
      </c>
      <c r="H31" s="36">
        <f>C31*E31</f>
        <v/>
      </c>
      <c r="I31" s="37">
        <f>C31*F31</f>
        <v/>
      </c>
      <c r="J31" s="11" t="inlineStr">
        <is>
          <t>Dupuis « MOTEUR UAF-1 » 1 h / 25 $</t>
        </is>
      </c>
    </row>
    <row r="32" ht="24" customHeight="1">
      <c r="A32" s="38" t="inlineStr">
        <is>
          <t>C-01b</t>
        </is>
      </c>
      <c r="B32" s="14" t="inlineStr">
        <is>
          <t>Conduit EMT 1" 4 #8 (alim. UTA-01) incl. supports</t>
        </is>
      </c>
      <c r="C32" s="39" t="n">
        <v>114.83</v>
      </c>
      <c r="D32" s="38" t="inlineStr">
        <is>
          <t>pi</t>
        </is>
      </c>
      <c r="E32" s="40" t="n">
        <v>7.6607</v>
      </c>
      <c r="F32" s="41" t="n">
        <v>0.135</v>
      </c>
      <c r="G32" s="38" t="inlineStr">
        <is>
          <t>3.23</t>
        </is>
      </c>
      <c r="H32" s="42">
        <f>C32*E32</f>
        <v/>
      </c>
      <c r="I32" s="43">
        <f>C32*F32</f>
        <v/>
      </c>
      <c r="J32" s="14" t="inlineStr">
        <is>
          <t>Dupuis « CONDUIT 1 13C12 » 7,6607 $/pi, 0,135 h/pi (dernier 2026-10-07 ; ens. 1" #8 absent → proche)</t>
        </is>
      </c>
    </row>
    <row r="33" ht="24" customHeight="1">
      <c r="A33" s="32" t="inlineStr">
        <is>
          <t>C-02</t>
        </is>
      </c>
      <c r="B33" s="11" t="inlineStr">
        <is>
          <t>VE-02N 1,5 HP 575 V c/a VFD — raccordement</t>
        </is>
      </c>
      <c r="C33" s="33" t="n">
        <v>1</v>
      </c>
      <c r="D33" s="32" t="inlineStr">
        <is>
          <t>u</t>
        </is>
      </c>
      <c r="E33" s="34" t="n">
        <v>25</v>
      </c>
      <c r="F33" s="35" t="n">
        <v>0.75</v>
      </c>
      <c r="G33" s="32" t="inlineStr">
        <is>
          <t>3.23</t>
        </is>
      </c>
      <c r="H33" s="36">
        <f>C33*E33</f>
        <v/>
      </c>
      <c r="I33" s="37">
        <f>C33*F33</f>
        <v/>
      </c>
      <c r="J33" s="11" t="inlineStr">
        <is>
          <t>Dupuis « MOTEUR » 0,75 h / 25 $ (dernier)</t>
        </is>
      </c>
    </row>
    <row r="34" ht="24" customHeight="1">
      <c r="A34" s="38" t="inlineStr">
        <is>
          <t>C-03</t>
        </is>
      </c>
      <c r="B34" s="14" t="inlineStr">
        <is>
          <t>Chaudières CH-01/CH-02 — raccord final LFMC, tiroirs CCM</t>
        </is>
      </c>
      <c r="C34" s="39" t="n">
        <v>2</v>
      </c>
      <c r="D34" s="38" t="inlineStr">
        <is>
          <t>u</t>
        </is>
      </c>
      <c r="E34" s="40" t="n">
        <v>15</v>
      </c>
      <c r="F34" s="41" t="n">
        <v>0.5</v>
      </c>
      <c r="G34" s="38" t="inlineStr">
        <is>
          <t>3.23</t>
        </is>
      </c>
      <c r="H34" s="42">
        <f>C34*E34</f>
        <v/>
      </c>
      <c r="I34" s="43">
        <f>C34*F34</f>
        <v/>
      </c>
      <c r="J34" s="14" t="inlineStr">
        <is>
          <t>Dupuis « CHAUDIERE » 0,5 h / 15 $</t>
        </is>
      </c>
    </row>
    <row r="35" ht="24" customHeight="1">
      <c r="A35" s="32" t="inlineStr">
        <is>
          <t>C-04</t>
        </is>
      </c>
      <c r="B35" s="11" t="inlineStr">
        <is>
          <t>Humidificateurs HUM-1/2/3 — raccordement</t>
        </is>
      </c>
      <c r="C35" s="33" t="n">
        <v>3</v>
      </c>
      <c r="D35" s="32" t="inlineStr">
        <is>
          <t>u</t>
        </is>
      </c>
      <c r="E35" s="34" t="n">
        <v>15</v>
      </c>
      <c r="F35" s="35" t="n">
        <v>0.35</v>
      </c>
      <c r="G35" s="32" t="inlineStr">
        <is>
          <t>3.23</t>
        </is>
      </c>
      <c r="H35" s="36">
        <f>C35*E35</f>
        <v/>
      </c>
      <c r="I35" s="37">
        <f>C35*F35</f>
        <v/>
      </c>
      <c r="J35" s="11" t="inlineStr">
        <is>
          <t>Dupuis « HUMIDIFICATEUR » 0,35 h / 15 $</t>
        </is>
      </c>
    </row>
    <row r="36" ht="24" customHeight="1">
      <c r="A36" s="38" t="inlineStr">
        <is>
          <t>C-04b</t>
        </is>
      </c>
      <c r="B36" s="14" t="inlineStr">
        <is>
          <t>Sectionneurs 30 A sans fusible (HUM)</t>
        </is>
      </c>
      <c r="C36" s="39" t="n">
        <v>3</v>
      </c>
      <c r="D36" s="38" t="inlineStr">
        <is>
          <t>u</t>
        </is>
      </c>
      <c r="E36" s="40" t="n">
        <v>133.49</v>
      </c>
      <c r="F36" s="41" t="n">
        <v>1</v>
      </c>
      <c r="G36" s="38" t="inlineStr">
        <is>
          <t>3.23</t>
        </is>
      </c>
      <c r="H36" s="42">
        <f>C36*E36</f>
        <v/>
      </c>
      <c r="I36" s="43">
        <f>C36*F36</f>
        <v/>
      </c>
      <c r="J36" s="14" t="inlineStr">
        <is>
          <t>Dupuis « INTERR 30A 3P 600V » 1 h / 133,49 $</t>
        </is>
      </c>
    </row>
    <row r="37" ht="24" customHeight="1">
      <c r="A37" s="32" t="inlineStr">
        <is>
          <t>C-07</t>
        </is>
      </c>
      <c r="B37" s="11" t="inlineStr">
        <is>
          <t>Conduit EMT 3/4" 03c12 (VE-02N + HUM)</t>
        </is>
      </c>
      <c r="C37" s="33" t="n">
        <v>262.47</v>
      </c>
      <c r="D37" s="32" t="inlineStr">
        <is>
          <t>pi</t>
        </is>
      </c>
      <c r="E37" s="34" t="n">
        <v>4.2441</v>
      </c>
      <c r="F37" s="35" t="n">
        <v>0.1128</v>
      </c>
      <c r="G37" s="32" t="inlineStr">
        <is>
          <t>3.23</t>
        </is>
      </c>
      <c r="H37" s="36">
        <f>C37*E37</f>
        <v/>
      </c>
      <c r="I37" s="37">
        <f>C37*F37</f>
        <v/>
      </c>
      <c r="J37" s="11" t="inlineStr">
        <is>
          <t>Dupuis « CONDUIT 3/4 03C12 » 4,2441 $/pi, 0,1128 h/pi (dernier, S-1857 2026-09-25)</t>
        </is>
      </c>
    </row>
    <row r="38" ht="24" customHeight="1">
      <c r="A38" s="38" t="inlineStr">
        <is>
          <t>C-08</t>
        </is>
      </c>
      <c r="B38" s="14" t="inlineStr">
        <is>
          <t>Raccords flexibles LFMC + connecteurs (7 équipements)</t>
        </is>
      </c>
      <c r="C38" s="39" t="n">
        <v>7</v>
      </c>
      <c r="D38" s="38" t="inlineStr">
        <is>
          <t>u</t>
        </is>
      </c>
      <c r="E38" s="40" t="n">
        <v>40</v>
      </c>
      <c r="F38" s="41" t="n">
        <v>0.25</v>
      </c>
      <c r="G38" s="38" t="inlineStr">
        <is>
          <t>3.23</t>
        </is>
      </c>
      <c r="H38" s="42">
        <f>C38*E38</f>
        <v/>
      </c>
      <c r="I38" s="43">
        <f>C38*F38</f>
        <v/>
      </c>
      <c r="J38" s="14" t="inlineStr">
        <is>
          <t>Lumen Hydrotite 12,40 $/m + Conseal 15,14 $ ×2 ; 0,25 h</t>
        </is>
      </c>
    </row>
    <row r="39">
      <c r="A39" s="46" t="n"/>
      <c r="B39" s="46" t="inlineStr">
        <is>
          <t>Sous-total section C</t>
        </is>
      </c>
      <c r="C39" s="46" t="n"/>
      <c r="D39" s="46" t="n"/>
      <c r="E39" s="46" t="n"/>
      <c r="F39" s="46" t="n"/>
      <c r="G39" s="46" t="n"/>
      <c r="H39" s="47">
        <f>SUM(H31:H38)</f>
        <v/>
      </c>
      <c r="I39" s="48">
        <f>SUM(I31:I38)</f>
        <v/>
      </c>
      <c r="J39" s="46" t="n"/>
    </row>
    <row r="41">
      <c r="A41" s="29" t="inlineStr">
        <is>
          <t>3.27 à 3.34 — SERVICES REZ-DE-CHAUSSÉE ET ÉTAGE</t>
        </is>
      </c>
      <c r="B41" s="30" t="n"/>
      <c r="C41" s="30" t="n"/>
      <c r="D41" s="30" t="n"/>
      <c r="E41" s="30" t="n"/>
      <c r="F41" s="30" t="n"/>
      <c r="G41" s="30" t="n"/>
      <c r="H41" s="30" t="n"/>
      <c r="I41" s="30" t="n"/>
      <c r="J41" s="31" t="n"/>
    </row>
    <row r="42" ht="36" customHeight="1">
      <c r="A42" s="32" t="inlineStr">
        <is>
          <t>D-01</t>
        </is>
      </c>
      <c r="B42" s="11" t="inlineStr">
        <is>
          <t>Poste de travail intégré mobilier : JB + prise 15 A + prise 20 A + boîte data</t>
        </is>
      </c>
      <c r="C42" s="33" t="n">
        <v>18</v>
      </c>
      <c r="D42" s="32" t="inlineStr">
        <is>
          <t>poste</t>
        </is>
      </c>
      <c r="E42" s="34" t="n">
        <v>156.39</v>
      </c>
      <c r="F42" s="35" t="n">
        <v>3.53</v>
      </c>
      <c r="G42" s="32" t="inlineStr">
        <is>
          <t>3.28</t>
        </is>
      </c>
      <c r="H42" s="36">
        <f>C42*E42</f>
        <v/>
      </c>
      <c r="I42" s="37">
        <f>C42*F42</f>
        <v/>
      </c>
      <c r="J42" s="11" t="inlineStr">
        <is>
          <t>Dupuis prise 15A 64,81/1,175 + prise 15/20A 60,19/1,225 + tel/data 13,96/0,63 + boîte 12x12 17,43/0,5</t>
        </is>
      </c>
    </row>
    <row r="43" ht="36" customHeight="1">
      <c r="A43" s="38" t="inlineStr">
        <is>
          <t>D-02</t>
        </is>
      </c>
      <c r="B43" s="14" t="inlineStr">
        <is>
          <t>Tables c/a boîte d’électrification (5) : 2 prises doubles + 4 prises USB chacune (20 USB au relevé E-104)</t>
        </is>
      </c>
      <c r="C43" s="39" t="n">
        <v>5</v>
      </c>
      <c r="D43" s="38" t="inlineStr">
        <is>
          <t>u</t>
        </is>
      </c>
      <c r="E43" s="40" t="n">
        <v>439.42</v>
      </c>
      <c r="F43" s="41" t="n">
        <v>6.85</v>
      </c>
      <c r="G43" s="38" t="inlineStr">
        <is>
          <t>3.27</t>
        </is>
      </c>
      <c r="H43" s="42">
        <f>C43*E43</f>
        <v/>
      </c>
      <c r="I43" s="43">
        <f>C43*F43</f>
        <v/>
      </c>
      <c r="J43" s="14" t="inlineStr">
        <is>
          <t>Dupuis prise 15A 64,81/1,175 ; USB 77,45/1,125 ; relevé IA : PRISE USB INSTALLER 20</t>
        </is>
      </c>
    </row>
    <row r="44" ht="24" customHeight="1">
      <c r="A44" s="32" t="inlineStr">
        <is>
          <t>D-03</t>
        </is>
      </c>
      <c r="B44" s="11" t="inlineStr">
        <is>
          <t>Cabine/isoloir : prise double par JB</t>
        </is>
      </c>
      <c r="C44" s="33" t="n">
        <v>2</v>
      </c>
      <c r="D44" s="32" t="inlineStr">
        <is>
          <t>u</t>
        </is>
      </c>
      <c r="E44" s="34" t="n">
        <v>64.81</v>
      </c>
      <c r="F44" s="35" t="n">
        <v>1.175</v>
      </c>
      <c r="G44" s="32" t="inlineStr">
        <is>
          <t>3.28</t>
        </is>
      </c>
      <c r="H44" s="36">
        <f>C44*E44</f>
        <v/>
      </c>
      <c r="I44" s="37">
        <f>C44*F44</f>
        <v/>
      </c>
      <c r="J44" s="11" t="inlineStr">
        <is>
          <t>Dupuis prise 15A</t>
        </is>
      </c>
    </row>
    <row r="45" ht="24" customHeight="1">
      <c r="A45" s="38" t="inlineStr">
        <is>
          <t>D-04</t>
        </is>
      </c>
      <c r="B45" s="14" t="inlineStr">
        <is>
          <t>Écran mur/colonne : prise + data</t>
        </is>
      </c>
      <c r="C45" s="39" t="n">
        <v>2</v>
      </c>
      <c r="D45" s="38" t="inlineStr">
        <is>
          <t>u</t>
        </is>
      </c>
      <c r="E45" s="40" t="n">
        <v>78.77000000000001</v>
      </c>
      <c r="F45" s="41" t="n">
        <v>1.805</v>
      </c>
      <c r="G45" s="38" t="inlineStr">
        <is>
          <t>3.28</t>
        </is>
      </c>
      <c r="H45" s="42">
        <f>C45*E45</f>
        <v/>
      </c>
      <c r="I45" s="43">
        <f>C45*F45</f>
        <v/>
      </c>
      <c r="J45" s="14" t="inlineStr">
        <is>
          <t>Dupuis</t>
        </is>
      </c>
    </row>
    <row r="46" ht="24" customHeight="1">
      <c r="A46" s="32" t="inlineStr">
        <is>
          <t>D-05</t>
        </is>
      </c>
      <c r="B46" s="11" t="inlineStr">
        <is>
          <t>Kiosque TV : prise + data</t>
        </is>
      </c>
      <c r="C46" s="33" t="n">
        <v>1</v>
      </c>
      <c r="D46" s="32" t="inlineStr">
        <is>
          <t>u</t>
        </is>
      </c>
      <c r="E46" s="34" t="n">
        <v>78.77000000000001</v>
      </c>
      <c r="F46" s="35" t="n">
        <v>1.805</v>
      </c>
      <c r="G46" s="32" t="inlineStr">
        <is>
          <t>3.28</t>
        </is>
      </c>
      <c r="H46" s="36">
        <f>C46*E46</f>
        <v/>
      </c>
      <c r="I46" s="37">
        <f>C46*F46</f>
        <v/>
      </c>
      <c r="J46" s="11" t="inlineStr">
        <is>
          <t>Dupuis</t>
        </is>
      </c>
    </row>
    <row r="47" ht="24" customHeight="1">
      <c r="A47" s="38" t="inlineStr">
        <is>
          <t>D-06</t>
        </is>
      </c>
      <c r="B47" s="14" t="inlineStr">
        <is>
          <t>Prises doubles murales/colonne neuves</t>
        </is>
      </c>
      <c r="C47" s="39" t="n">
        <v>8</v>
      </c>
      <c r="D47" s="38" t="inlineStr">
        <is>
          <t>u</t>
        </is>
      </c>
      <c r="E47" s="40" t="n">
        <v>64.81</v>
      </c>
      <c r="F47" s="41" t="n">
        <v>1.175</v>
      </c>
      <c r="G47" s="38" t="inlineStr">
        <is>
          <t>3.28</t>
        </is>
      </c>
      <c r="H47" s="42">
        <f>C47*E47</f>
        <v/>
      </c>
      <c r="I47" s="43">
        <f>C47*F47</f>
        <v/>
      </c>
      <c r="J47" s="14" t="inlineStr">
        <is>
          <t>Dupuis prise 15A</t>
        </is>
      </c>
    </row>
    <row r="48" ht="24" customHeight="1">
      <c r="A48" s="32" t="inlineStr">
        <is>
          <t>D-17</t>
        </is>
      </c>
      <c r="B48" s="11" t="inlineStr">
        <is>
          <t>Prises MALT isolées (IG orange) — 22 dispositifs</t>
        </is>
      </c>
      <c r="C48" s="33" t="n">
        <v>22</v>
      </c>
      <c r="D48" s="32" t="inlineStr">
        <is>
          <t>u</t>
        </is>
      </c>
      <c r="E48" s="34" t="n">
        <v>76.81</v>
      </c>
      <c r="F48" s="35" t="n">
        <v>1.175</v>
      </c>
      <c r="G48" s="32" t="inlineStr">
        <is>
          <t>3.29</t>
        </is>
      </c>
      <c r="H48" s="36">
        <f>C48*E48</f>
        <v/>
      </c>
      <c r="I48" s="37">
        <f>C48*F48</f>
        <v/>
      </c>
      <c r="J48" s="11" t="inlineStr">
        <is>
          <t>Dupuis prise 15A + supplément dispositif IG (≈12 $, Lumen LEV5262IG non lu)</t>
        </is>
      </c>
    </row>
    <row r="49" ht="24" customHeight="1">
      <c r="A49" s="38" t="inlineStr">
        <is>
          <t>D-07</t>
        </is>
      </c>
      <c r="B49" s="14" t="inlineStr">
        <is>
          <t>Prise DDFT 15 A fontaine</t>
        </is>
      </c>
      <c r="C49" s="39" t="n">
        <v>1</v>
      </c>
      <c r="D49" s="38" t="inlineStr">
        <is>
          <t>u</t>
        </is>
      </c>
      <c r="E49" s="40" t="n">
        <v>65.38</v>
      </c>
      <c r="F49" s="41" t="n">
        <v>1.3</v>
      </c>
      <c r="G49" s="38" t="inlineStr">
        <is>
          <t>3.30</t>
        </is>
      </c>
      <c r="H49" s="42">
        <f>C49*E49</f>
        <v/>
      </c>
      <c r="I49" s="43">
        <f>C49*F49</f>
        <v/>
      </c>
      <c r="J49" s="14" t="inlineStr">
        <is>
          <t>Dupuis « PRISE DUPLEX 20A GFI » 65,38 $ / 1,3 h</t>
        </is>
      </c>
    </row>
    <row r="50" ht="36" customHeight="1">
      <c r="A50" s="32" t="inlineStr">
        <is>
          <t>D-08</t>
        </is>
      </c>
      <c r="B50" s="11" t="inlineStr">
        <is>
          <t>Sorties data murales/colonne : boîte + conduit 3/4" + corde (65 sorties au relevé − 24 déjà dans les postes/écrans/kiosque)</t>
        </is>
      </c>
      <c r="C50" s="33" t="n">
        <v>41</v>
      </c>
      <c r="D50" s="32" t="inlineStr">
        <is>
          <t>u</t>
        </is>
      </c>
      <c r="E50" s="34" t="n">
        <v>22.32</v>
      </c>
      <c r="F50" s="35" t="n">
        <v>0.89</v>
      </c>
      <c r="G50" s="32" t="inlineStr">
        <is>
          <t>3.33</t>
        </is>
      </c>
      <c r="H50" s="36">
        <f>C50*E50</f>
        <v/>
      </c>
      <c r="I50" s="37">
        <f>C50*F50</f>
        <v/>
      </c>
      <c r="J50" s="11" t="inlineStr">
        <is>
          <t>Dupuis « TEL/DATA 3/4 » 22,32 $ / 0,89 h ; relevé IA : SORTIE DATA INSTALLER 65 (E104 45 + E105 20)</t>
        </is>
      </c>
    </row>
    <row r="51" ht="24" customHeight="1">
      <c r="A51" s="38" t="inlineStr">
        <is>
          <t>D-09</t>
        </is>
      </c>
      <c r="B51" s="14" t="inlineStr">
        <is>
          <t>Barrière antivol : 2 JB + raccord panneau PU-1</t>
        </is>
      </c>
      <c r="C51" s="39" t="n">
        <v>1</v>
      </c>
      <c r="D51" s="38" t="inlineStr">
        <is>
          <t>lot</t>
        </is>
      </c>
      <c r="E51" s="44" t="n">
        <v>60</v>
      </c>
      <c r="F51" s="45" t="n">
        <v>4</v>
      </c>
      <c r="G51" s="38" t="inlineStr">
        <is>
          <t>3.31</t>
        </is>
      </c>
      <c r="H51" s="42">
        <f>C51*E51</f>
        <v/>
      </c>
      <c r="I51" s="43">
        <f>C51*F51</f>
        <v/>
      </c>
      <c r="J51" s="14" t="inlineStr">
        <is>
          <t>jugement (2 boîtes 12x12 + conduit) — Estimation_2 6 h</t>
        </is>
      </c>
    </row>
    <row r="52" ht="24" customHeight="1">
      <c r="A52" s="32" t="inlineStr">
        <is>
          <t>D-10</t>
        </is>
      </c>
      <c r="B52" s="11" t="inlineStr">
        <is>
          <t>Bornes de prêt / fontaine hall — JB</t>
        </is>
      </c>
      <c r="C52" s="33" t="n">
        <v>1</v>
      </c>
      <c r="D52" s="32" t="inlineStr">
        <is>
          <t>u</t>
        </is>
      </c>
      <c r="E52" s="34" t="n">
        <v>17.43</v>
      </c>
      <c r="F52" s="35" t="n">
        <v>1</v>
      </c>
      <c r="G52" s="32" t="inlineStr">
        <is>
          <t>3.31</t>
        </is>
      </c>
      <c r="H52" s="36">
        <f>C52*E52</f>
        <v/>
      </c>
      <c r="I52" s="37">
        <f>C52*F52</f>
        <v/>
      </c>
      <c r="J52" s="11" t="inlineStr">
        <is>
          <t>Dupuis boîte 12x12 1 h</t>
        </is>
      </c>
    </row>
    <row r="53" ht="24" customHeight="1">
      <c r="A53" s="38" t="inlineStr">
        <is>
          <t>D-11</t>
        </is>
      </c>
      <c r="B53" s="14" t="inlineStr">
        <is>
          <t>Boutons d’appel (3) et de panique (1) — boîte + conduit vide</t>
        </is>
      </c>
      <c r="C53" s="39" t="n">
        <v>4</v>
      </c>
      <c r="D53" s="38" t="inlineStr">
        <is>
          <t>u</t>
        </is>
      </c>
      <c r="E53" s="40" t="n">
        <v>15</v>
      </c>
      <c r="F53" s="41" t="n">
        <v>0.5</v>
      </c>
      <c r="G53" s="38" t="inlineStr">
        <is>
          <t>3.31</t>
        </is>
      </c>
      <c r="H53" s="42">
        <f>C53*E53</f>
        <v/>
      </c>
      <c r="I53" s="43">
        <f>C53*F53</f>
        <v/>
      </c>
      <c r="J53" s="14" t="inlineStr">
        <is>
          <t>Dupuis « GACHE »/« LECTEUR » 15 $ / 0,5 h (même nature)</t>
        </is>
      </c>
    </row>
    <row r="54" ht="24" customHeight="1">
      <c r="A54" s="32" t="inlineStr">
        <is>
          <t>D-20</t>
        </is>
      </c>
      <c r="B54" s="11" t="inlineStr">
        <is>
          <t>Portes à contrôle d’accès : lecteur + gâche (boîtes + conduits)</t>
        </is>
      </c>
      <c r="C54" s="33" t="n">
        <v>7</v>
      </c>
      <c r="D54" s="32" t="inlineStr">
        <is>
          <t>u</t>
        </is>
      </c>
      <c r="E54" s="34" t="n">
        <v>30</v>
      </c>
      <c r="F54" s="35" t="n">
        <v>0.85</v>
      </c>
      <c r="G54" s="32" t="inlineStr">
        <is>
          <t>3.31</t>
        </is>
      </c>
      <c r="H54" s="36">
        <f>C54*E54</f>
        <v/>
      </c>
      <c r="I54" s="37">
        <f>C54*F54</f>
        <v/>
      </c>
      <c r="J54" s="11" t="inlineStr">
        <is>
          <t>Dupuis « LECTEUR DE CARTE » 15 $/0,5 h + « GACHE » 15 $/0,35 h (dernier)</t>
        </is>
      </c>
    </row>
    <row r="55" ht="24" customHeight="1">
      <c r="A55" s="38" t="inlineStr">
        <is>
          <t>D-21</t>
        </is>
      </c>
      <c r="B55" s="14" t="inlineStr">
        <is>
          <t>Thermostats — boîte + conduit</t>
        </is>
      </c>
      <c r="C55" s="39" t="n">
        <v>6</v>
      </c>
      <c r="D55" s="38" t="inlineStr">
        <is>
          <t>u</t>
        </is>
      </c>
      <c r="E55" s="40" t="n">
        <v>35</v>
      </c>
      <c r="F55" s="41" t="n">
        <v>0.4</v>
      </c>
      <c r="G55" s="38" t="inlineStr">
        <is>
          <t>3.31</t>
        </is>
      </c>
      <c r="H55" s="42">
        <f>C55*E55</f>
        <v/>
      </c>
      <c r="I55" s="43">
        <f>C55*F55</f>
        <v/>
      </c>
      <c r="J55" s="14" t="inlineStr">
        <is>
          <t>Dupuis « THERMOSTAT » 35 $ / 0,4 h</t>
        </is>
      </c>
    </row>
    <row r="56" ht="24" customHeight="1">
      <c r="A56" s="32" t="inlineStr">
        <is>
          <t>D-22</t>
        </is>
      </c>
      <c r="B56" s="11" t="inlineStr">
        <is>
          <t>Sorties TV</t>
        </is>
      </c>
      <c r="C56" s="33" t="n">
        <v>4</v>
      </c>
      <c r="D56" s="32" t="inlineStr">
        <is>
          <t>u</t>
        </is>
      </c>
      <c r="E56" s="34" t="n">
        <v>15</v>
      </c>
      <c r="F56" s="35" t="n">
        <v>0.5</v>
      </c>
      <c r="G56" s="32" t="inlineStr">
        <is>
          <t>3.33</t>
        </is>
      </c>
      <c r="H56" s="36">
        <f>C56*E56</f>
        <v/>
      </c>
      <c r="I56" s="37">
        <f>C56*F56</f>
        <v/>
      </c>
      <c r="J56" s="11" t="inlineStr">
        <is>
          <t>Dupuis « SORTIE TV » 15 $ / 0,5 h</t>
        </is>
      </c>
    </row>
    <row r="57" ht="24" customHeight="1">
      <c r="A57" s="38" t="inlineStr">
        <is>
          <t>D-12</t>
        </is>
      </c>
      <c r="B57" s="14" t="inlineStr">
        <is>
          <t>Percements de dalle carottés + coupe-feu (RDC + étage)</t>
        </is>
      </c>
      <c r="C57" s="39" t="n">
        <v>23</v>
      </c>
      <c r="D57" s="38" t="inlineStr">
        <is>
          <t>u</t>
        </is>
      </c>
      <c r="E57" s="40" t="n">
        <v>150</v>
      </c>
      <c r="F57" s="41" t="n">
        <v>1</v>
      </c>
      <c r="G57" s="38" t="inlineStr">
        <is>
          <t>3.31</t>
        </is>
      </c>
      <c r="H57" s="42">
        <f>C57*E57</f>
        <v/>
      </c>
      <c r="I57" s="43">
        <f>C57*F57</f>
        <v/>
      </c>
      <c r="J57" s="14" t="inlineStr">
        <is>
          <t>Dupuis « PERCEMENT PLANCHER » 150 $ (S-1881) / 1 h</t>
        </is>
      </c>
    </row>
    <row r="58" ht="24" customHeight="1">
      <c r="A58" s="32" t="inlineStr">
        <is>
          <t>D-12b</t>
        </is>
      </c>
      <c r="B58" s="11" t="inlineStr">
        <is>
          <t>Coupe-feu (tubes)</t>
        </is>
      </c>
      <c r="C58" s="33" t="n">
        <v>8</v>
      </c>
      <c r="D58" s="32" t="inlineStr">
        <is>
          <t>u</t>
        </is>
      </c>
      <c r="E58" s="34" t="n">
        <v>13.53</v>
      </c>
      <c r="F58" s="35" t="n">
        <v>0.5</v>
      </c>
      <c r="G58" s="32" t="inlineStr">
        <is>
          <t>3.31</t>
        </is>
      </c>
      <c r="H58" s="36">
        <f>C58*E58</f>
        <v/>
      </c>
      <c r="I58" s="37">
        <f>C58*F58</f>
        <v/>
      </c>
      <c r="J58" s="11" t="inlineStr">
        <is>
          <t>Dupuis « COUPE FEU TUBE 10.1 FL O » 13,53 $ / 0,5 h (dernier 2026-03-09 ; Lumen 2026-10-07 : 26,22 $ — Dupuis prime)</t>
        </is>
      </c>
    </row>
    <row r="59" ht="24" customHeight="1">
      <c r="A59" s="38" t="inlineStr">
        <is>
          <t>D-13</t>
        </is>
      </c>
      <c r="B59" s="14" t="inlineStr">
        <is>
          <t>Conduit EMT 1" sous dalle (16 courses RDC + 7 étage), 5 cond. #12</t>
        </is>
      </c>
      <c r="C59" s="39" t="n">
        <v>2148.95</v>
      </c>
      <c r="D59" s="38" t="inlineStr">
        <is>
          <t>pi</t>
        </is>
      </c>
      <c r="E59" s="40" t="n">
        <v>4.1197</v>
      </c>
      <c r="F59" s="41" t="n">
        <v>0.091</v>
      </c>
      <c r="G59" s="38" t="inlineStr">
        <is>
          <t>3.31</t>
        </is>
      </c>
      <c r="H59" s="42">
        <f>C59*E59</f>
        <v/>
      </c>
      <c r="I59" s="43">
        <f>C59*F59</f>
        <v/>
      </c>
      <c r="J59" s="14" t="inlineStr">
        <is>
          <t>Dupuis « CONDUIT 3/4 07C12 » 4,1197 $/pi, 0,091 h/pi (dernier 2026-09-25 ; 1" 05c12 absent → équivalent)</t>
        </is>
      </c>
    </row>
    <row r="60" ht="24" customHeight="1">
      <c r="A60" s="32" t="inlineStr">
        <is>
          <t>D-14</t>
        </is>
      </c>
      <c r="B60" s="11" t="inlineStr">
        <is>
          <t>Conduit EMT 3/4" data sous dalle, vide + corde (11 + 7 courses)</t>
        </is>
      </c>
      <c r="C60" s="33" t="n">
        <v>1656.82</v>
      </c>
      <c r="D60" s="32" t="inlineStr">
        <is>
          <t>pi</t>
        </is>
      </c>
      <c r="E60" s="34" t="n">
        <v>1.4097</v>
      </c>
      <c r="F60" s="35" t="n">
        <v>0.056</v>
      </c>
      <c r="G60" s="32" t="inlineStr">
        <is>
          <t>3.33</t>
        </is>
      </c>
      <c r="H60" s="36">
        <f>C60*E60</f>
        <v/>
      </c>
      <c r="I60" s="37">
        <f>C60*F60</f>
        <v/>
      </c>
      <c r="J60" s="11" t="inlineStr">
        <is>
          <t>Dupuis « CONDUIT VIDE 3/4 » 1,4097 $/pi, 0,056 h/pi (dernier 2026-08-19)</t>
        </is>
      </c>
    </row>
    <row r="61" ht="24" customHeight="1">
      <c r="A61" s="38" t="inlineStr">
        <is>
          <t>D-16</t>
        </is>
      </c>
      <c r="B61" s="14" t="inlineStr">
        <is>
          <t>Boîtes de tirage 4-11/16, connecteurs, supports — sous dalle</t>
        </is>
      </c>
      <c r="C61" s="39" t="n">
        <v>23</v>
      </c>
      <c r="D61" s="38" t="inlineStr">
        <is>
          <t>u</t>
        </is>
      </c>
      <c r="E61" s="40" t="n">
        <v>9.26</v>
      </c>
      <c r="F61" s="41" t="n">
        <v>0.25</v>
      </c>
      <c r="G61" s="38" t="inlineStr">
        <is>
          <t>3.31</t>
        </is>
      </c>
      <c r="H61" s="42">
        <f>C61*E61</f>
        <v/>
      </c>
      <c r="I61" s="43">
        <f>C61*F61</f>
        <v/>
      </c>
      <c r="J61" s="14" t="inlineStr">
        <is>
          <t>Lumen 6,05 + 3,21 ; Dupuis boîte 0,25 h</t>
        </is>
      </c>
    </row>
    <row r="62" ht="24" customHeight="1">
      <c r="A62" s="32" t="inlineStr">
        <is>
          <t>D-19</t>
        </is>
      </c>
      <c r="B62" s="11" t="inlineStr">
        <is>
          <t>Scan dalle béton (GPR) avant carottage</t>
        </is>
      </c>
      <c r="C62" s="33" t="n">
        <v>1</v>
      </c>
      <c r="D62" s="32" t="inlineStr">
        <is>
          <t>lot</t>
        </is>
      </c>
      <c r="E62" s="34" t="n">
        <v>1250</v>
      </c>
      <c r="F62" s="35" t="n">
        <v>2</v>
      </c>
      <c r="G62" s="32" t="inlineStr">
        <is>
          <t>3.32</t>
        </is>
      </c>
      <c r="H62" s="36">
        <f>C62*E62</f>
        <v/>
      </c>
      <c r="I62" s="37">
        <f>C62*F62</f>
        <v/>
      </c>
      <c r="J62" s="11" t="inlineStr">
        <is>
          <t>Dupuis « SCAN DALLE BETON » 1 250 $ / 2 h</t>
        </is>
      </c>
    </row>
    <row r="63" ht="24" customHeight="1">
      <c r="A63" s="38" t="inlineStr">
        <is>
          <t>E-02</t>
        </is>
      </c>
      <c r="B63" s="14" t="inlineStr">
        <is>
          <t>Monuments de plancher Hubbell poke-through (prise 20 A + 2 RJ45)</t>
        </is>
      </c>
      <c r="C63" s="39" t="n">
        <v>2</v>
      </c>
      <c r="D63" s="38" t="inlineStr">
        <is>
          <t>u</t>
        </is>
      </c>
      <c r="E63" s="40" t="n">
        <v>1461.22</v>
      </c>
      <c r="F63" s="41" t="n">
        <v>1</v>
      </c>
      <c r="G63" s="38" t="inlineStr">
        <is>
          <t>3.34</t>
        </is>
      </c>
      <c r="H63" s="42">
        <f>C63*E63</f>
        <v/>
      </c>
      <c r="I63" s="43">
        <f>C63*F63</f>
        <v/>
      </c>
      <c r="J63" s="14" t="inlineStr">
        <is>
          <t>Lumen 1 461,22 $ ; Dupuis monument 1 h</t>
        </is>
      </c>
    </row>
    <row r="64" ht="24" customHeight="1">
      <c r="A64" s="32" t="inlineStr">
        <is>
          <t>E-03</t>
        </is>
      </c>
      <c r="B64" s="11" t="inlineStr">
        <is>
          <t>Boîtes de plancher refaites (salle 208)</t>
        </is>
      </c>
      <c r="C64" s="33" t="n">
        <v>2</v>
      </c>
      <c r="D64" s="32" t="inlineStr">
        <is>
          <t>u</t>
        </is>
      </c>
      <c r="E64" s="34" t="n">
        <v>250</v>
      </c>
      <c r="F64" s="35" t="n">
        <v>1</v>
      </c>
      <c r="G64" s="32" t="inlineStr">
        <is>
          <t>3.34</t>
        </is>
      </c>
      <c r="H64" s="36">
        <f>C64*E64</f>
        <v/>
      </c>
      <c r="I64" s="37">
        <f>C64*F64</f>
        <v/>
      </c>
      <c r="J64" s="11" t="inlineStr">
        <is>
          <t>Dupuis « MONUMENT PLANCHER » 250 $ / 1 h</t>
        </is>
      </c>
    </row>
    <row r="65" ht="24" customHeight="1">
      <c r="A65" s="38" t="inlineStr">
        <is>
          <t>E-04</t>
        </is>
      </c>
      <c r="B65" s="14" t="inlineStr">
        <is>
          <t>Cabines/salles étage : JB + prise</t>
        </is>
      </c>
      <c r="C65" s="39" t="n">
        <v>3</v>
      </c>
      <c r="D65" s="38" t="inlineStr">
        <is>
          <t>u</t>
        </is>
      </c>
      <c r="E65" s="40" t="n">
        <v>64.81</v>
      </c>
      <c r="F65" s="41" t="n">
        <v>1.175</v>
      </c>
      <c r="G65" s="38" t="inlineStr">
        <is>
          <t>3.28</t>
        </is>
      </c>
      <c r="H65" s="42">
        <f>C65*E65</f>
        <v/>
      </c>
      <c r="I65" s="43">
        <f>C65*F65</f>
        <v/>
      </c>
      <c r="J65" s="14" t="inlineStr">
        <is>
          <t>Dupuis prise 15A</t>
        </is>
      </c>
    </row>
    <row r="66" ht="24" customHeight="1">
      <c r="A66" s="32" t="inlineStr">
        <is>
          <t>E-01</t>
        </is>
      </c>
      <c r="B66" s="11" t="inlineStr">
        <is>
          <t>Postes aide au lecteur 227 : JB, 2 prises, data</t>
        </is>
      </c>
      <c r="C66" s="33" t="n">
        <v>2</v>
      </c>
      <c r="D66" s="32" t="inlineStr">
        <is>
          <t>poste</t>
        </is>
      </c>
      <c r="E66" s="34" t="n">
        <v>143.58</v>
      </c>
      <c r="F66" s="35" t="n">
        <v>2.98</v>
      </c>
      <c r="G66" s="32" t="inlineStr">
        <is>
          <t>3.28</t>
        </is>
      </c>
      <c r="H66" s="36">
        <f>C66*E66</f>
        <v/>
      </c>
      <c r="I66" s="37">
        <f>C66*F66</f>
        <v/>
      </c>
      <c r="J66" s="11" t="inlineStr">
        <is>
          <t>Dupuis</t>
        </is>
      </c>
    </row>
    <row r="67" ht="24" customHeight="1">
      <c r="A67" s="38" t="inlineStr">
        <is>
          <t>E-05</t>
        </is>
      </c>
      <c r="B67" s="14" t="inlineStr">
        <is>
          <t>Écran colonne étage : prise + data</t>
        </is>
      </c>
      <c r="C67" s="39" t="n">
        <v>1</v>
      </c>
      <c r="D67" s="38" t="inlineStr">
        <is>
          <t>u</t>
        </is>
      </c>
      <c r="E67" s="40" t="n">
        <v>78.77000000000001</v>
      </c>
      <c r="F67" s="41" t="n">
        <v>1.805</v>
      </c>
      <c r="G67" s="38" t="inlineStr">
        <is>
          <t>3.28</t>
        </is>
      </c>
      <c r="H67" s="42">
        <f>C67*E67</f>
        <v/>
      </c>
      <c r="I67" s="43">
        <f>C67*F67</f>
        <v/>
      </c>
      <c r="J67" s="14" t="inlineStr">
        <is>
          <t>Dupuis</t>
        </is>
      </c>
    </row>
    <row r="68">
      <c r="A68" s="46" t="n"/>
      <c r="B68" s="46" t="inlineStr">
        <is>
          <t>Sous-total section D</t>
        </is>
      </c>
      <c r="C68" s="46" t="n"/>
      <c r="D68" s="46" t="n"/>
      <c r="E68" s="46" t="n"/>
      <c r="F68" s="46" t="n"/>
      <c r="G68" s="46" t="n"/>
      <c r="H68" s="47">
        <f>SUM(H42:H67)</f>
        <v/>
      </c>
      <c r="I68" s="48">
        <f>SUM(I42:I67)</f>
        <v/>
      </c>
      <c r="J68" s="46" t="n"/>
    </row>
    <row r="70">
      <c r="A70" s="29" t="inlineStr">
        <is>
          <t>3.35 — ÉCLAIRAGE, ÉCLAIRAGE D’URGENCE ET CONTRÔLE</t>
        </is>
      </c>
      <c r="B70" s="30" t="n"/>
      <c r="C70" s="30" t="n"/>
      <c r="D70" s="30" t="n"/>
      <c r="E70" s="30" t="n"/>
      <c r="F70" s="30" t="n"/>
      <c r="G70" s="30" t="n"/>
      <c r="H70" s="30" t="n"/>
      <c r="I70" s="30" t="n"/>
      <c r="J70" s="31" t="n"/>
    </row>
    <row r="71" ht="36" customHeight="1">
      <c r="A71" s="32" t="inlineStr">
        <is>
          <t>F-01</t>
        </is>
      </c>
      <c r="B71" s="11" t="inlineStr">
        <is>
          <t>Luminaire A1 Cooper 24CGTS-L3C3 2x4 LED encastré + clips sismiques — pose</t>
        </is>
      </c>
      <c r="C71" s="33" t="n">
        <v>10</v>
      </c>
      <c r="D71" s="32" t="inlineStr">
        <is>
          <t>u</t>
        </is>
      </c>
      <c r="E71" s="34" t="n">
        <v>0</v>
      </c>
      <c r="F71" s="35" t="n">
        <v>0.75</v>
      </c>
      <c r="G71" s="32" t="inlineStr">
        <is>
          <t>3.35</t>
        </is>
      </c>
      <c r="H71" s="36">
        <f>C71*E71</f>
        <v/>
      </c>
      <c r="I71" s="37">
        <f>C71*F71</f>
        <v/>
      </c>
      <c r="J71" s="11" t="inlineStr">
        <is>
          <t>Dupuis « FIXTURE TYPE A » 0,75 h ; qté Hi-Tech R1 (ADD E-01 : 10, était 11 au tableau E-008) ; fourniture au lot</t>
        </is>
      </c>
    </row>
    <row r="72" ht="36" customHeight="1">
      <c r="A72" s="38" t="inlineStr">
        <is>
          <t>F-02</t>
        </is>
      </c>
      <c r="B72" s="14" t="inlineStr">
        <is>
          <t>Luminaires C1 Axis Slate SL1 (7′ ×11, 5′ ×5, 4′ ×2, 3′ ×14 = 32 modules) — pose</t>
        </is>
      </c>
      <c r="C72" s="39" t="n">
        <v>32</v>
      </c>
      <c r="D72" s="38" t="inlineStr">
        <is>
          <t>u</t>
        </is>
      </c>
      <c r="E72" s="40" t="n">
        <v>0</v>
      </c>
      <c r="F72" s="41" t="n">
        <v>0.75</v>
      </c>
      <c r="G72" s="38" t="inlineStr">
        <is>
          <t>3.35</t>
        </is>
      </c>
      <c r="H72" s="42">
        <f>C72*E72</f>
        <v/>
      </c>
      <c r="I72" s="43">
        <f>C72*F72</f>
        <v/>
      </c>
      <c r="J72" s="14" t="inlineStr">
        <is>
          <t>Dupuis 0,75 h/luminaire ; qté Hi-Tech R1 (ADD E-01 ; était 33 au tableau E-008)</t>
        </is>
      </c>
    </row>
    <row r="73" ht="24" customHeight="1">
      <c r="A73" s="32" t="inlineStr">
        <is>
          <t>F-03</t>
        </is>
      </c>
      <c r="B73" s="11" t="inlineStr">
        <is>
          <t>Luminaires M / M1 Pinnacle M-P-835LO (8′ ×4, 2′ ×1) — pose</t>
        </is>
      </c>
      <c r="C73" s="33" t="n">
        <v>5</v>
      </c>
      <c r="D73" s="32" t="inlineStr">
        <is>
          <t>u</t>
        </is>
      </c>
      <c r="E73" s="34" t="n">
        <v>0</v>
      </c>
      <c r="F73" s="35" t="n">
        <v>0.75</v>
      </c>
      <c r="G73" s="32" t="inlineStr">
        <is>
          <t>3.35</t>
        </is>
      </c>
      <c r="H73" s="36">
        <f>C73*E73</f>
        <v/>
      </c>
      <c r="I73" s="37">
        <f>C73*F73</f>
        <v/>
      </c>
      <c r="J73" s="11" t="inlineStr">
        <is>
          <t>Dupuis 0,75 h/luminaire ; type ajouté par l’ADD E-01 (Hi-Tech R1)</t>
        </is>
      </c>
    </row>
    <row r="74" ht="36" customHeight="1">
      <c r="A74" s="38" t="inlineStr">
        <is>
          <t>F-05</t>
        </is>
      </c>
      <c r="B74" s="14" t="inlineStr">
        <is>
          <t>Rangées linéaires suspendues (20) : suspension à la dalle, alimentation</t>
        </is>
      </c>
      <c r="C74" s="39" t="n">
        <v>20</v>
      </c>
      <c r="D74" s="38" t="inlineStr">
        <is>
          <t>rangée</t>
        </is>
      </c>
      <c r="E74" s="40" t="n">
        <v>50</v>
      </c>
      <c r="F74" s="41" t="n">
        <v>1</v>
      </c>
      <c r="G74" s="38" t="inlineStr">
        <is>
          <t>3.35</t>
        </is>
      </c>
      <c r="H74" s="42">
        <f>C74*E74</f>
        <v/>
      </c>
      <c r="I74" s="43">
        <f>C74*F74</f>
        <v/>
      </c>
      <c r="J74" s="14" t="inlineStr">
        <is>
          <t>Dupuis « DROP DE SWITCH »/alim. 0-10V 32-55 $ ; 1 h (Estimation_2)</t>
        </is>
      </c>
    </row>
    <row r="75" ht="24" customHeight="1">
      <c r="A75" s="32" t="inlineStr">
        <is>
          <t>F-06</t>
        </is>
      </c>
      <c r="B75" s="11" t="inlineStr">
        <is>
          <t>Luminaire E cylindre suspendu — pose</t>
        </is>
      </c>
      <c r="C75" s="33" t="n">
        <v>3</v>
      </c>
      <c r="D75" s="32" t="inlineStr">
        <is>
          <t>u</t>
        </is>
      </c>
      <c r="E75" s="34" t="n">
        <v>0</v>
      </c>
      <c r="F75" s="35" t="n">
        <v>0.75</v>
      </c>
      <c r="G75" s="32" t="inlineStr">
        <is>
          <t>3.35</t>
        </is>
      </c>
      <c r="H75" s="36">
        <f>C75*E75</f>
        <v/>
      </c>
      <c r="I75" s="37">
        <f>C75*F75</f>
        <v/>
      </c>
      <c r="J75" s="11" t="inlineStr">
        <is>
          <t>Dupuis 0,75 h ; 3 u (E-203)</t>
        </is>
      </c>
    </row>
    <row r="76" ht="24" customHeight="1">
      <c r="A76" s="38" t="inlineStr">
        <is>
          <t>F-07</t>
        </is>
      </c>
      <c r="B76" s="14" t="inlineStr">
        <is>
          <t>Enseignes de sortie Z6 — pose</t>
        </is>
      </c>
      <c r="C76" s="39" t="n">
        <v>3</v>
      </c>
      <c r="D76" s="38" t="inlineStr">
        <is>
          <t>u</t>
        </is>
      </c>
      <c r="E76" s="40" t="n">
        <v>0</v>
      </c>
      <c r="F76" s="41" t="n">
        <v>1</v>
      </c>
      <c r="G76" s="38" t="inlineStr">
        <is>
          <t>3.35</t>
        </is>
      </c>
      <c r="H76" s="42">
        <f>C76*E76</f>
        <v/>
      </c>
      <c r="I76" s="43">
        <f>C76*F76</f>
        <v/>
      </c>
      <c r="J76" s="14" t="inlineStr">
        <is>
          <t>Dupuis « ENSEIGNE SORTIE » 1 h</t>
        </is>
      </c>
    </row>
    <row r="77" ht="24" customHeight="1">
      <c r="A77" s="32" t="inlineStr">
        <is>
          <t>F-11</t>
        </is>
      </c>
      <c r="B77" s="11" t="inlineStr">
        <is>
          <t>Interrupteurs neufs 15 A</t>
        </is>
      </c>
      <c r="C77" s="33" t="n">
        <v>5</v>
      </c>
      <c r="D77" s="32" t="inlineStr">
        <is>
          <t>u</t>
        </is>
      </c>
      <c r="E77" s="34" t="n">
        <v>75.47</v>
      </c>
      <c r="F77" s="35" t="n">
        <v>1.075</v>
      </c>
      <c r="G77" s="32" t="inlineStr">
        <is>
          <t>3.35</t>
        </is>
      </c>
      <c r="H77" s="36">
        <f>C77*E77</f>
        <v/>
      </c>
      <c r="I77" s="37">
        <f>C77*F77</f>
        <v/>
      </c>
      <c r="J77" s="11" t="inlineStr">
        <is>
          <t>Dupuis « INTERRUPTEUR 15A 120V » 75,47 $ / 1,075 h</t>
        </is>
      </c>
    </row>
    <row r="78" ht="36" customHeight="1">
      <c r="A78" s="38" t="inlineStr">
        <is>
          <t>F-08</t>
        </is>
      </c>
      <c r="B78" s="14" t="inlineStr">
        <is>
          <t>Conduit EMT 3/4" 03c12 + flexible — raccordement luminaires (35 points)</t>
        </is>
      </c>
      <c r="C78" s="39" t="n">
        <v>918.64</v>
      </c>
      <c r="D78" s="38" t="inlineStr">
        <is>
          <t>pi</t>
        </is>
      </c>
      <c r="E78" s="40" t="n">
        <v>4.2441</v>
      </c>
      <c r="F78" s="41" t="n">
        <v>0.1128</v>
      </c>
      <c r="G78" s="38" t="inlineStr">
        <is>
          <t>3.35</t>
        </is>
      </c>
      <c r="H78" s="42">
        <f>C78*E78</f>
        <v/>
      </c>
      <c r="I78" s="43">
        <f>C78*F78</f>
        <v/>
      </c>
      <c r="J78" s="14" t="inlineStr">
        <is>
          <t>Dupuis « CONDUIT 3/4 03C12 » 4,2441 $/pi, 0,1128 h/pi (dernier)</t>
        </is>
      </c>
    </row>
    <row r="79" ht="24" customHeight="1">
      <c r="A79" s="32" t="inlineStr">
        <is>
          <t>F-10</t>
        </is>
      </c>
      <c r="B79" s="11" t="inlineStr">
        <is>
          <t>Chaînes de retenue à la dalle, boîtes de jonction, quincaillerie</t>
        </is>
      </c>
      <c r="C79" s="33" t="n">
        <v>50</v>
      </c>
      <c r="D79" s="32" t="inlineStr">
        <is>
          <t>u</t>
        </is>
      </c>
      <c r="E79" s="34" t="n">
        <v>8</v>
      </c>
      <c r="F79" s="35" t="n">
        <v>0.25</v>
      </c>
      <c r="G79" s="32" t="inlineStr">
        <is>
          <t>3.35</t>
        </is>
      </c>
      <c r="H79" s="36">
        <f>C79*E79</f>
        <v/>
      </c>
      <c r="I79" s="37">
        <f>C79*F79</f>
        <v/>
      </c>
      <c r="J79" s="11" t="inlineStr">
        <is>
          <t>Dupuis « PARASIMIC » 10 $ / 0,25 h (retenue) — 1 par luminaire (A1 10 + Axis 32 + Pinnacle 5 + E 3)</t>
        </is>
      </c>
    </row>
    <row r="80" ht="36" customHeight="1">
      <c r="A80" s="38" t="inlineStr">
        <is>
          <t>F-LOT</t>
        </is>
      </c>
      <c r="B80" s="14" t="inlineStr">
        <is>
          <t>PRIX DE LOT ÉCLAIRAGE (ADD E-01) : A1 Cooper ×10 + clips, Axis Slate 7′×11 / 5′×5 / 4′×2 / 3′×14, Pinnacle M ×4 + M1 ×1, transport Axis prépayé</t>
        </is>
      </c>
      <c r="C80" s="39" t="n">
        <v>1</v>
      </c>
      <c r="D80" s="38" t="inlineStr">
        <is>
          <t>lot</t>
        </is>
      </c>
      <c r="E80" s="40" t="n">
        <v>42820.79</v>
      </c>
      <c r="F80" s="41" t="n">
        <v>0</v>
      </c>
      <c r="G80" s="38" t="inlineStr">
        <is>
          <t>3.35</t>
        </is>
      </c>
      <c r="H80" s="42">
        <f>C80*E80</f>
        <v/>
      </c>
      <c r="I80" s="43">
        <f>C80*F80</f>
        <v/>
      </c>
      <c r="J80" s="14" t="inlineStr">
        <is>
          <t>SOUMISSION FOURNISSEUR Éclairage Hi-Tech S100946-R1 (2026-10-23, prix d’achat, 30 jours) — courriel Daniel Dupuis 2026-10-22 ; EN SUS non chiffrés par Hi-Tech : transport Pinnacle, courtage/dédouanement et tarifs USA (Pinnacle) ; note Cooper « 347 V discontinué »</t>
        </is>
      </c>
    </row>
    <row r="81" ht="24" customHeight="1">
      <c r="A81" s="32" t="inlineStr">
        <is>
          <t>F-LOT2</t>
        </is>
      </c>
      <c r="B81" s="11" t="inlineStr">
        <is>
          <t>PRIX DE LOT ÉCLAIRAGE (hors Hi-Tech) : E ×3 (475 $), Z6 ×3 (161,60 $)</t>
        </is>
      </c>
      <c r="C81" s="33" t="n">
        <v>1</v>
      </c>
      <c r="D81" s="32" t="inlineStr">
        <is>
          <t>lot</t>
        </is>
      </c>
      <c r="E81" s="44" t="n">
        <v>1909.8</v>
      </c>
      <c r="F81" s="45" t="n">
        <v>0</v>
      </c>
      <c r="G81" s="32" t="inlineStr">
        <is>
          <t>3.35</t>
        </is>
      </c>
      <c r="H81" s="36">
        <f>C81*E81</f>
        <v/>
      </c>
      <c r="I81" s="37">
        <f>C81*F81</f>
        <v/>
      </c>
      <c r="J81" s="11" t="inlineStr">
        <is>
          <t>ALLOCATION (Gerrie prix réguliers / agents, 2026-10-20) — types E et Z6 absents de la soumission Hi-Tech R1 : à confirmer (ADD E-01 non lu)</t>
        </is>
      </c>
    </row>
    <row r="82">
      <c r="A82" s="46" t="n"/>
      <c r="B82" s="46" t="inlineStr">
        <is>
          <t>Sous-total section F</t>
        </is>
      </c>
      <c r="C82" s="46" t="n"/>
      <c r="D82" s="46" t="n"/>
      <c r="E82" s="46" t="n"/>
      <c r="F82" s="46" t="n"/>
      <c r="G82" s="46" t="n"/>
      <c r="H82" s="47">
        <f>SUM(H71:H81)</f>
        <v/>
      </c>
      <c r="I82" s="48">
        <f>SUM(I71:I81)</f>
        <v/>
      </c>
      <c r="J82" s="46" t="n"/>
    </row>
    <row r="84">
      <c r="A84" s="29" t="inlineStr">
        <is>
          <t>3.36 à 3.38 — ALARME INCENDIE</t>
        </is>
      </c>
      <c r="B84" s="30" t="n"/>
      <c r="C84" s="30" t="n"/>
      <c r="D84" s="30" t="n"/>
      <c r="E84" s="30" t="n"/>
      <c r="F84" s="30" t="n"/>
      <c r="G84" s="30" t="n"/>
      <c r="H84" s="30" t="n"/>
      <c r="I84" s="30" t="n"/>
      <c r="J84" s="31" t="n"/>
    </row>
    <row r="85" ht="24" customHeight="1">
      <c r="A85" s="32" t="inlineStr">
        <is>
          <t>G-01</t>
        </is>
      </c>
      <c r="B85" s="11" t="inlineStr">
        <is>
          <t>Détecteurs de fumée adressables + base (fournis JCI) — pose</t>
        </is>
      </c>
      <c r="C85" s="33" t="n">
        <v>2</v>
      </c>
      <c r="D85" s="32" t="inlineStr">
        <is>
          <t>u</t>
        </is>
      </c>
      <c r="E85" s="34" t="n">
        <v>0</v>
      </c>
      <c r="F85" s="35" t="n">
        <v>0.5</v>
      </c>
      <c r="G85" s="32" t="inlineStr">
        <is>
          <t>3.36</t>
        </is>
      </c>
      <c r="H85" s="36">
        <f>C85*E85</f>
        <v/>
      </c>
      <c r="I85" s="37">
        <f>C85*F85</f>
        <v/>
      </c>
      <c r="J85" s="11" t="inlineStr">
        <is>
          <t>Dupuis « DETECTEUR A FUMEE » 0,5 h</t>
        </is>
      </c>
    </row>
    <row r="86" ht="24" customHeight="1">
      <c r="A86" s="38" t="inlineStr">
        <is>
          <t>G-01b</t>
        </is>
      </c>
      <c r="B86" s="14" t="inlineStr">
        <is>
          <t>Détecteurs Simplex 4098-9714 + base (fourniture JCI)</t>
        </is>
      </c>
      <c r="C86" s="39" t="n">
        <v>2</v>
      </c>
      <c r="D86" s="38" t="inlineStr">
        <is>
          <t>u</t>
        </is>
      </c>
      <c r="E86" s="44" t="n">
        <v>300</v>
      </c>
      <c r="F86" s="45" t="n">
        <v>0</v>
      </c>
      <c r="G86" s="38" t="inlineStr">
        <is>
          <t>3.36</t>
        </is>
      </c>
      <c r="H86" s="42">
        <f>C86*E86</f>
        <v/>
      </c>
      <c r="I86" s="43">
        <f>C86*F86</f>
        <v/>
      </c>
      <c r="J86" s="14" t="inlineStr">
        <is>
          <t>ALLOCATION — montant retenu par Frank 2026-10-20, aucune soumission JCI reçue</t>
        </is>
      </c>
    </row>
    <row r="87" ht="24" customHeight="1">
      <c r="A87" s="32" t="inlineStr">
        <is>
          <t>G-02</t>
        </is>
      </c>
      <c r="B87" s="11" t="inlineStr">
        <is>
          <t>Conduit EMT 3/4" boucle AI + câble FA 16/2</t>
        </is>
      </c>
      <c r="C87" s="33" t="n">
        <v>98.43000000000001</v>
      </c>
      <c r="D87" s="32" t="inlineStr">
        <is>
          <t>pi</t>
        </is>
      </c>
      <c r="E87" s="34" t="n">
        <v>1.8197</v>
      </c>
      <c r="F87" s="35" t="n">
        <v>0.08400000000000001</v>
      </c>
      <c r="G87" s="32" t="inlineStr">
        <is>
          <t>3.36</t>
        </is>
      </c>
      <c r="H87" s="36">
        <f>C87*E87</f>
        <v/>
      </c>
      <c r="I87" s="37">
        <f>C87*F87</f>
        <v/>
      </c>
      <c r="J87" s="11" t="inlineStr">
        <is>
          <t>Dupuis conduit vide 3/4 1,4097 $/pi (dernier) + fil alarme 16 AWG 0,41 $/pi, 0,028 h/pi</t>
        </is>
      </c>
    </row>
    <row r="88" ht="24" customHeight="1">
      <c r="A88" s="38" t="inlineStr">
        <is>
          <t>G-04</t>
        </is>
      </c>
      <c r="B88" s="14" t="inlineStr">
        <is>
          <t>Relocalisation annonciateur Simplex</t>
        </is>
      </c>
      <c r="C88" s="39" t="n">
        <v>1</v>
      </c>
      <c r="D88" s="38" t="inlineStr">
        <is>
          <t>u</t>
        </is>
      </c>
      <c r="E88" s="40" t="n">
        <v>0</v>
      </c>
      <c r="F88" s="41" t="n">
        <v>8</v>
      </c>
      <c r="G88" s="38" t="inlineStr">
        <is>
          <t>3.37</t>
        </is>
      </c>
      <c r="H88" s="42">
        <f>C88*E88</f>
        <v/>
      </c>
      <c r="I88" s="43">
        <f>C88*F88</f>
        <v/>
      </c>
      <c r="J88" s="14" t="inlineStr">
        <is>
          <t>Dupuis « RELO PANN ANNOCIATEUR » 8 h</t>
        </is>
      </c>
    </row>
    <row r="89" ht="36" customHeight="1">
      <c r="A89" s="32" t="inlineStr">
        <is>
          <t>G-05</t>
        </is>
      </c>
      <c r="B89" s="11" t="inlineStr">
        <is>
          <t>Démontage / protection / réinstallation dispositifs AI existants (zones touchées)</t>
        </is>
      </c>
      <c r="C89" s="33" t="n">
        <v>1</v>
      </c>
      <c r="D89" s="32" t="inlineStr">
        <is>
          <t>lot</t>
        </is>
      </c>
      <c r="E89" s="44" t="n">
        <v>0</v>
      </c>
      <c r="F89" s="45" t="n">
        <v>12</v>
      </c>
      <c r="G89" s="32" t="inlineStr">
        <is>
          <t>3.37</t>
        </is>
      </c>
      <c r="H89" s="36">
        <f>C89*E89</f>
        <v/>
      </c>
      <c r="I89" s="37">
        <f>C89*F89</f>
        <v/>
      </c>
      <c r="J89" s="11" t="inlineStr">
        <is>
          <t>jugement (Estimation_2)</t>
        </is>
      </c>
    </row>
    <row r="90" ht="24" customHeight="1">
      <c r="A90" s="38" t="inlineStr">
        <is>
          <t>G-06</t>
        </is>
      </c>
      <c r="B90" s="14" t="inlineStr">
        <is>
          <t>Assistance électricien programmation / vérification ULC-S537</t>
        </is>
      </c>
      <c r="C90" s="39" t="n">
        <v>1</v>
      </c>
      <c r="D90" s="38" t="inlineStr">
        <is>
          <t>lot</t>
        </is>
      </c>
      <c r="E90" s="44" t="n">
        <v>0</v>
      </c>
      <c r="F90" s="45" t="n">
        <v>8</v>
      </c>
      <c r="G90" s="38" t="inlineStr">
        <is>
          <t>3.38</t>
        </is>
      </c>
      <c r="H90" s="42">
        <f>C90*E90</f>
        <v/>
      </c>
      <c r="I90" s="43">
        <f>C90*F90</f>
        <v/>
      </c>
      <c r="J90" s="14" t="inlineStr">
        <is>
          <t>jugement (Estimation_2)</t>
        </is>
      </c>
    </row>
    <row r="91" ht="36" customHeight="1">
      <c r="A91" s="32" t="inlineStr">
        <is>
          <t>G-07</t>
        </is>
      </c>
      <c r="B91" s="11" t="inlineStr">
        <is>
          <t>Services JCI/Simplex : bypass, programmation 4007ES, annonciateur, vérification partielle + certificat</t>
        </is>
      </c>
      <c r="C91" s="33" t="n">
        <v>1</v>
      </c>
      <c r="D91" s="32" t="inlineStr">
        <is>
          <t>lot</t>
        </is>
      </c>
      <c r="E91" s="44" t="n">
        <v>7400</v>
      </c>
      <c r="F91" s="45" t="n">
        <v>0</v>
      </c>
      <c r="G91" s="32" t="inlineStr">
        <is>
          <t>3.38</t>
        </is>
      </c>
      <c r="H91" s="36">
        <f>C91*E91</f>
        <v/>
      </c>
      <c r="I91" s="37">
        <f>C91*F91</f>
        <v/>
      </c>
      <c r="J91" s="11" t="inlineStr">
        <is>
          <t>ALLOCATION — montant retenu par Frank 2026-10-20 ; prix JCI demandé par Jo le 2026-10-08, aucune soumission reçue</t>
        </is>
      </c>
    </row>
    <row r="92">
      <c r="A92" s="46" t="n"/>
      <c r="B92" s="46" t="inlineStr">
        <is>
          <t>Sous-total section G</t>
        </is>
      </c>
      <c r="C92" s="46" t="n"/>
      <c r="D92" s="46" t="n"/>
      <c r="E92" s="46" t="n"/>
      <c r="F92" s="46" t="n"/>
      <c r="G92" s="46" t="n"/>
      <c r="H92" s="47">
        <f>SUM(H85:H91)</f>
        <v/>
      </c>
      <c r="I92" s="48">
        <f>SUM(I85:I91)</f>
        <v/>
      </c>
      <c r="J92" s="46" t="n"/>
    </row>
    <row r="94">
      <c r="A94" s="29" t="inlineStr">
        <is>
          <t>FRAIS DE CHANTIER (répartis sur 3.31)</t>
        </is>
      </c>
      <c r="B94" s="30" t="n"/>
      <c r="C94" s="30" t="n"/>
      <c r="D94" s="30" t="n"/>
      <c r="E94" s="30" t="n"/>
      <c r="F94" s="30" t="n"/>
      <c r="G94" s="30" t="n"/>
      <c r="H94" s="30" t="n"/>
      <c r="I94" s="30" t="n"/>
      <c r="J94" s="31" t="n"/>
    </row>
    <row r="95" ht="24" customHeight="1">
      <c r="A95" s="32" t="inlineStr">
        <is>
          <t>H-01</t>
        </is>
      </c>
      <c r="B95" s="11" t="inlineStr">
        <is>
          <t>Mobilisation / démobilisation, plateforme roulante</t>
        </is>
      </c>
      <c r="C95" s="33" t="n">
        <v>1</v>
      </c>
      <c r="D95" s="32" t="inlineStr">
        <is>
          <t>lot</t>
        </is>
      </c>
      <c r="E95" s="34" t="n">
        <v>1250</v>
      </c>
      <c r="F95" s="35" t="n">
        <v>16</v>
      </c>
      <c r="G95" s="32" t="inlineStr">
        <is>
          <t>3.31</t>
        </is>
      </c>
      <c r="H95" s="36">
        <f>C95*E95</f>
        <v/>
      </c>
      <c r="I95" s="37">
        <f>C95*F95</f>
        <v/>
      </c>
      <c r="J95" s="11" t="inlineStr">
        <is>
          <t>Dupuis « NACELLE » 1 250 $ / 16 h (dernier, S-1811 2026-07-14)</t>
        </is>
      </c>
    </row>
    <row r="96" ht="24" customHeight="1">
      <c r="A96" s="38" t="inlineStr">
        <is>
          <t>H-02</t>
        </is>
      </c>
      <c r="B96" s="14" t="inlineStr">
        <is>
          <t>Coordination EG, dessins d’atelier, plans tels que construits</t>
        </is>
      </c>
      <c r="C96" s="39" t="n">
        <v>1</v>
      </c>
      <c r="D96" s="38" t="inlineStr">
        <is>
          <t>lot</t>
        </is>
      </c>
      <c r="E96" s="44" t="n">
        <v>0</v>
      </c>
      <c r="F96" s="45" t="n">
        <v>20</v>
      </c>
      <c r="G96" s="38" t="inlineStr">
        <is>
          <t>3.31</t>
        </is>
      </c>
      <c r="H96" s="42">
        <f>C96*E96</f>
        <v/>
      </c>
      <c r="I96" s="43">
        <f>C96*F96</f>
        <v/>
      </c>
      <c r="J96" s="14" t="inlineStr">
        <is>
          <t>jugement (Estimation_2)</t>
        </is>
      </c>
    </row>
    <row r="97" ht="36" customHeight="1">
      <c r="A97" s="32" t="inlineStr">
        <is>
          <t>H-03</t>
        </is>
      </c>
      <c r="B97" s="11" t="inlineStr">
        <is>
          <t>Essais, mise en service, vérification prises existantes (note 3), étiquetage</t>
        </is>
      </c>
      <c r="C97" s="33" t="n">
        <v>1</v>
      </c>
      <c r="D97" s="32" t="inlineStr">
        <is>
          <t>lot</t>
        </is>
      </c>
      <c r="E97" s="44" t="n">
        <v>0</v>
      </c>
      <c r="F97" s="45" t="n">
        <v>12</v>
      </c>
      <c r="G97" s="32" t="inlineStr">
        <is>
          <t>3.31</t>
        </is>
      </c>
      <c r="H97" s="36">
        <f>C97*E97</f>
        <v/>
      </c>
      <c r="I97" s="37">
        <f>C97*F97</f>
        <v/>
      </c>
      <c r="J97" s="11" t="inlineStr">
        <is>
          <t>jugement (Estimation_2)</t>
        </is>
      </c>
    </row>
    <row r="98" ht="24" customHeight="1">
      <c r="A98" s="38" t="inlineStr">
        <is>
          <t>H-04</t>
        </is>
      </c>
      <c r="B98" s="14" t="inlineStr">
        <is>
          <t>Nettoyage, gestion des déchets</t>
        </is>
      </c>
      <c r="C98" s="39" t="n">
        <v>1</v>
      </c>
      <c r="D98" s="38" t="inlineStr">
        <is>
          <t>lot</t>
        </is>
      </c>
      <c r="E98" s="44" t="n">
        <v>0</v>
      </c>
      <c r="F98" s="45" t="n">
        <v>8</v>
      </c>
      <c r="G98" s="38" t="inlineStr">
        <is>
          <t>3.31</t>
        </is>
      </c>
      <c r="H98" s="42">
        <f>C98*E98</f>
        <v/>
      </c>
      <c r="I98" s="43">
        <f>C98*F98</f>
        <v/>
      </c>
      <c r="J98" s="14" t="inlineStr">
        <is>
          <t>jugement (Estimation_2)</t>
        </is>
      </c>
    </row>
    <row r="99">
      <c r="A99" s="46" t="n"/>
      <c r="B99" s="46" t="inlineStr">
        <is>
          <t>Sous-total section H</t>
        </is>
      </c>
      <c r="C99" s="46" t="n"/>
      <c r="D99" s="46" t="n"/>
      <c r="E99" s="46" t="n"/>
      <c r="F99" s="46" t="n"/>
      <c r="G99" s="46" t="n"/>
      <c r="H99" s="47">
        <f>SUM(H95:H98)</f>
        <v/>
      </c>
      <c r="I99" s="48">
        <f>SUM(I95:I98)</f>
        <v/>
      </c>
      <c r="J99" s="46" t="n"/>
    </row>
    <row r="101">
      <c r="A101" s="49" t="n"/>
      <c r="B101" s="50" t="inlineStr">
        <is>
          <t>TOTAL MATÉRIEL / LOTS ET HEURES RELEVÉES</t>
        </is>
      </c>
      <c r="C101" s="49" t="n"/>
      <c r="D101" s="49" t="n"/>
      <c r="E101" s="49" t="n"/>
      <c r="F101" s="49" t="n"/>
      <c r="G101" s="49" t="n"/>
      <c r="H101" s="51">
        <f>H17+H28+H39+H68+H82+H92+H99</f>
        <v/>
      </c>
      <c r="I101" s="52">
        <f>I17+I28+I39+I68+I82+I92+I99</f>
        <v/>
      </c>
      <c r="J101" s="49" t="n"/>
    </row>
  </sheetData>
  <mergeCells count="9">
    <mergeCell ref="A5:J5"/>
    <mergeCell ref="A94:J94"/>
    <mergeCell ref="A84:J84"/>
    <mergeCell ref="A70:J70"/>
    <mergeCell ref="A30:J30"/>
    <mergeCell ref="B1:J1"/>
    <mergeCell ref="B2:J2"/>
    <mergeCell ref="A41:J41"/>
    <mergeCell ref="A19:J19"/>
  </mergeCells>
  <pageMargins left="0.4" right="0.4" top="0.6" bottom="0.6" header="0.3" footer="0.3"/>
  <pageSetup orientation="landscape" paperSize="1" fitToHeight="0" fitToWidth="1"/>
  <headerFooter>
    <oddHeader>&amp;L&amp;"Arial,Bold"&amp;9Le Groupe DR Électrique inc. — S-1902 Bibliothèque Georgette-Lepage&amp;R&amp;9Chiffrage méthode Dupuis — 2026-10-26</oddHeader>
    <oddFooter>&amp;L&amp;8DR Électrique inc. | Merci de votre confiance&amp;R&amp;8Page &amp;P de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14" customWidth="1" min="3" max="3"/>
    <col width="10" customWidth="1" min="4" max="4"/>
    <col width="14" customWidth="1" min="5" max="5"/>
    <col width="15" customWidth="1" min="6" max="6"/>
    <col width="15" customWidth="1" min="7" max="7"/>
  </cols>
  <sheetData>
    <row r="1" ht="24" customHeight="1">
      <c r="A1" s="1" t="n"/>
      <c r="B1" s="2" t="inlineStr">
        <is>
          <t>S-1902 — VENTILATION PAR ARTICLE DU BORDEREAU (Annexe 2.00)</t>
        </is>
      </c>
    </row>
    <row r="2" ht="18" customHeight="1">
      <c r="A2" s="1" t="n"/>
      <c r="B2" s="3" t="inlineStr">
        <is>
          <t>Total ACCEO par article = matériel + heures × taux (arrondi réparti au prorata) ; prix soumis = total × 1,244 arrondi au dollar ; 3.31 absorbe l’arrondi du total.</t>
        </is>
      </c>
    </row>
    <row r="3" ht="28" customHeight="1">
      <c r="A3" s="10" t="inlineStr">
        <is>
          <t>Article</t>
        </is>
      </c>
      <c r="B3" s="10" t="inlineStr">
        <is>
          <t>Description (bordereau R.D.J.)</t>
        </is>
      </c>
      <c r="C3" s="10" t="inlineStr">
        <is>
          <t>Matériel ($)</t>
        </is>
      </c>
      <c r="D3" s="10" t="inlineStr">
        <is>
          <t>Heures</t>
        </is>
      </c>
      <c r="E3" s="10" t="inlineStr">
        <is>
          <t>Main-d’œuvre ($)</t>
        </is>
      </c>
      <c r="F3" s="10" t="inlineStr">
        <is>
          <t>Total ACCEO ($)</t>
        </is>
      </c>
      <c r="G3" s="10" t="inlineStr">
        <is>
          <t>Prix soumis ($)</t>
        </is>
      </c>
    </row>
    <row r="4" ht="20" customHeight="1">
      <c r="A4" s="32" t="inlineStr">
        <is>
          <t>3.22</t>
        </is>
      </c>
      <c r="B4" s="53" t="inlineStr">
        <is>
          <t>Démontage des éléments électriques</t>
        </is>
      </c>
      <c r="C4" s="54" t="n">
        <v>0</v>
      </c>
      <c r="D4" s="37" t="n">
        <v>108.35</v>
      </c>
      <c r="E4" s="54" t="n">
        <v>9217.700000000001</v>
      </c>
      <c r="F4" s="54" t="n">
        <v>9217.700000000001</v>
      </c>
      <c r="G4" s="55" t="n">
        <v>11467</v>
      </c>
    </row>
    <row r="5" ht="20" customHeight="1">
      <c r="A5" s="38" t="inlineStr">
        <is>
          <t>3.23</t>
        </is>
      </c>
      <c r="B5" s="56" t="inlineStr">
        <is>
          <t>Raccordement des équipements mécaniques</t>
        </is>
      </c>
      <c r="C5" s="57" t="n">
        <v>2799.08</v>
      </c>
      <c r="D5" s="43" t="n">
        <v>53.66</v>
      </c>
      <c r="E5" s="57" t="n">
        <v>4564.89</v>
      </c>
      <c r="F5" s="57" t="n">
        <v>7363.97</v>
      </c>
      <c r="G5" s="58" t="n">
        <v>9161</v>
      </c>
    </row>
    <row r="6" ht="20" customHeight="1">
      <c r="A6" s="32" t="inlineStr">
        <is>
          <t>3.24</t>
        </is>
      </c>
      <c r="B6" s="53" t="inlineStr">
        <is>
          <t>Nouveau panneau 600 V</t>
        </is>
      </c>
      <c r="C6" s="54" t="n">
        <v>6335</v>
      </c>
      <c r="D6" s="37" t="n">
        <v>27.5</v>
      </c>
      <c r="E6" s="54" t="n">
        <v>2339.52</v>
      </c>
      <c r="F6" s="54" t="n">
        <v>8674.52</v>
      </c>
      <c r="G6" s="55" t="n">
        <v>10791</v>
      </c>
    </row>
    <row r="7" ht="20" customHeight="1">
      <c r="A7" s="38" t="inlineStr">
        <is>
          <t>3.25</t>
        </is>
      </c>
      <c r="B7" s="56" t="inlineStr">
        <is>
          <t>Lot disjoncteurs</t>
        </is>
      </c>
      <c r="C7" s="57" t="n">
        <v>0</v>
      </c>
      <c r="D7" s="43" t="n">
        <v>7.6</v>
      </c>
      <c r="E7" s="57" t="n">
        <v>646.5599999999999</v>
      </c>
      <c r="F7" s="57" t="n">
        <v>646.5599999999999</v>
      </c>
      <c r="G7" s="58" t="n">
        <v>804</v>
      </c>
    </row>
    <row r="8" ht="20" customHeight="1">
      <c r="A8" s="32" t="inlineStr">
        <is>
          <t>3.26</t>
        </is>
      </c>
      <c r="B8" s="53" t="inlineStr">
        <is>
          <t>MCC</t>
        </is>
      </c>
      <c r="C8" s="54" t="n">
        <v>30</v>
      </c>
      <c r="D8" s="37" t="n">
        <v>4</v>
      </c>
      <c r="E8" s="54" t="n">
        <v>340.29</v>
      </c>
      <c r="F8" s="54" t="n">
        <v>370.29</v>
      </c>
      <c r="G8" s="55" t="n">
        <v>461</v>
      </c>
    </row>
    <row r="9" ht="20" customHeight="1">
      <c r="A9" s="38" t="inlineStr">
        <is>
          <t>3.27</t>
        </is>
      </c>
      <c r="B9" s="56" t="inlineStr">
        <is>
          <t>Prises doubles 15 A-120 V – USB</t>
        </is>
      </c>
      <c r="C9" s="57" t="n">
        <v>2197.1</v>
      </c>
      <c r="D9" s="43" t="n">
        <v>34.25</v>
      </c>
      <c r="E9" s="57" t="n">
        <v>2913.76</v>
      </c>
      <c r="F9" s="57" t="n">
        <v>5110.86</v>
      </c>
      <c r="G9" s="58" t="n">
        <v>6358</v>
      </c>
    </row>
    <row r="10" ht="20" customHeight="1">
      <c r="A10" s="32" t="inlineStr">
        <is>
          <t>3.28</t>
        </is>
      </c>
      <c r="B10" s="53" t="inlineStr">
        <is>
          <t>Prises doubles 15 A-120 V</t>
        </is>
      </c>
      <c r="C10" s="54" t="n">
        <v>4259.79</v>
      </c>
      <c r="D10" s="37" t="n">
        <v>92</v>
      </c>
      <c r="E10" s="54" t="n">
        <v>7826.32</v>
      </c>
      <c r="F10" s="54" t="n">
        <v>12086.11</v>
      </c>
      <c r="G10" s="55" t="n">
        <v>15035</v>
      </c>
    </row>
    <row r="11" ht="20" customHeight="1">
      <c r="A11" s="38" t="inlineStr">
        <is>
          <t>3.29</t>
        </is>
      </c>
      <c r="B11" s="56" t="inlineStr">
        <is>
          <t>Prises doubles 15 A-120 V MALT isolées</t>
        </is>
      </c>
      <c r="C11" s="57" t="n">
        <v>1689.82</v>
      </c>
      <c r="D11" s="43" t="n">
        <v>25.85</v>
      </c>
      <c r="E11" s="57" t="n">
        <v>2199.15</v>
      </c>
      <c r="F11" s="57" t="n">
        <v>3888.97</v>
      </c>
      <c r="G11" s="58" t="n">
        <v>4838</v>
      </c>
    </row>
    <row r="12" ht="20" customHeight="1">
      <c r="A12" s="32" t="inlineStr">
        <is>
          <t>3.30</t>
        </is>
      </c>
      <c r="B12" s="53" t="inlineStr">
        <is>
          <t>Prises doubles 15 A-120 V GFI</t>
        </is>
      </c>
      <c r="C12" s="54" t="n">
        <v>65.38</v>
      </c>
      <c r="D12" s="37" t="n">
        <v>1.3</v>
      </c>
      <c r="E12" s="54" t="n">
        <v>110.6</v>
      </c>
      <c r="F12" s="54" t="n">
        <v>175.98</v>
      </c>
      <c r="G12" s="55" t="n">
        <v>219</v>
      </c>
    </row>
    <row r="13" ht="20" customHeight="1">
      <c r="A13" s="38" t="inlineStr">
        <is>
          <t>3.31</t>
        </is>
      </c>
      <c r="B13" s="56" t="inlineStr">
        <is>
          <t>Percements, conduit, filage et boîtes de jonction</t>
        </is>
      </c>
      <c r="C13" s="57" t="n">
        <v>14431.68</v>
      </c>
      <c r="D13" s="43" t="n">
        <v>299.65</v>
      </c>
      <c r="E13" s="57" t="n">
        <v>25492.61</v>
      </c>
      <c r="F13" s="57" t="n">
        <v>39924.29</v>
      </c>
      <c r="G13" s="58" t="n">
        <v>49257</v>
      </c>
    </row>
    <row r="14" ht="20" customHeight="1">
      <c r="A14" s="32" t="inlineStr">
        <is>
          <t>3.32</t>
        </is>
      </c>
      <c r="B14" s="53" t="inlineStr">
        <is>
          <t>Scan dalle béton</t>
        </is>
      </c>
      <c r="C14" s="54" t="n">
        <v>1250</v>
      </c>
      <c r="D14" s="37" t="n">
        <v>2</v>
      </c>
      <c r="E14" s="54" t="n">
        <v>170.15</v>
      </c>
      <c r="F14" s="54" t="n">
        <v>1420.15</v>
      </c>
      <c r="G14" s="55" t="n">
        <v>1767</v>
      </c>
    </row>
    <row r="15" ht="20" customHeight="1">
      <c r="A15" s="38" t="inlineStr">
        <is>
          <t>3.33</t>
        </is>
      </c>
      <c r="B15" s="56" t="inlineStr">
        <is>
          <t>Sorties informatique/réseau</t>
        </is>
      </c>
      <c r="C15" s="57" t="n">
        <v>3310.75</v>
      </c>
      <c r="D15" s="43" t="n">
        <v>131.27</v>
      </c>
      <c r="E15" s="57" t="n">
        <v>11167.76</v>
      </c>
      <c r="F15" s="57" t="n">
        <v>14478.51</v>
      </c>
      <c r="G15" s="58" t="n">
        <v>18011</v>
      </c>
    </row>
    <row r="16" ht="20" customHeight="1">
      <c r="A16" s="32" t="inlineStr">
        <is>
          <t>3.34</t>
        </is>
      </c>
      <c r="B16" s="53" t="inlineStr">
        <is>
          <t>Monument plancher</t>
        </is>
      </c>
      <c r="C16" s="54" t="n">
        <v>3422.44</v>
      </c>
      <c r="D16" s="37" t="n">
        <v>4</v>
      </c>
      <c r="E16" s="54" t="n">
        <v>340.29</v>
      </c>
      <c r="F16" s="54" t="n">
        <v>3762.73</v>
      </c>
      <c r="G16" s="55" t="n">
        <v>4681</v>
      </c>
    </row>
    <row r="17" ht="20" customHeight="1">
      <c r="A17" s="38" t="inlineStr">
        <is>
          <t>3.35</t>
        </is>
      </c>
      <c r="B17" s="56" t="inlineStr">
        <is>
          <t>Appareils de contrôle + appareils d'éclairage</t>
        </is>
      </c>
      <c r="C17" s="57" t="n">
        <v>50406.72</v>
      </c>
      <c r="D17" s="43" t="n">
        <v>182</v>
      </c>
      <c r="E17" s="57" t="n">
        <v>15483.1</v>
      </c>
      <c r="F17" s="57" t="n">
        <v>65889.82000000001</v>
      </c>
      <c r="G17" s="58" t="n">
        <v>81967</v>
      </c>
    </row>
    <row r="18" ht="20" customHeight="1">
      <c r="A18" s="32" t="inlineStr">
        <is>
          <t>3.36</t>
        </is>
      </c>
      <c r="B18" s="53" t="inlineStr">
        <is>
          <t>Détecteur de fumée</t>
        </is>
      </c>
      <c r="C18" s="54" t="n">
        <v>779.1</v>
      </c>
      <c r="D18" s="37" t="n">
        <v>9.27</v>
      </c>
      <c r="E18" s="54" t="n">
        <v>788.4400000000001</v>
      </c>
      <c r="F18" s="54" t="n">
        <v>1567.54</v>
      </c>
      <c r="G18" s="55" t="n">
        <v>1950</v>
      </c>
    </row>
    <row r="19" ht="20" customHeight="1">
      <c r="A19" s="38" t="inlineStr">
        <is>
          <t>3.37</t>
        </is>
      </c>
      <c r="B19" s="56" t="inlineStr">
        <is>
          <t>Panneau alarme incendie : déplacement annonciateur</t>
        </is>
      </c>
      <c r="C19" s="57" t="n">
        <v>0</v>
      </c>
      <c r="D19" s="43" t="n">
        <v>20</v>
      </c>
      <c r="E19" s="57" t="n">
        <v>1701.47</v>
      </c>
      <c r="F19" s="57" t="n">
        <v>1701.47</v>
      </c>
      <c r="G19" s="58" t="n">
        <v>2117</v>
      </c>
    </row>
    <row r="20" ht="20" customHeight="1">
      <c r="A20" s="32" t="inlineStr">
        <is>
          <t>3.38</t>
        </is>
      </c>
      <c r="B20" s="53" t="inlineStr">
        <is>
          <t>Panneau alarme incendie : mise en marche et certification</t>
        </is>
      </c>
      <c r="C20" s="54" t="n">
        <v>7400</v>
      </c>
      <c r="D20" s="37" t="n">
        <v>8</v>
      </c>
      <c r="E20" s="54" t="n">
        <v>680.59</v>
      </c>
      <c r="F20" s="54" t="n">
        <v>8080.59</v>
      </c>
      <c r="G20" s="55" t="n">
        <v>10052</v>
      </c>
    </row>
    <row r="21" ht="20" customHeight="1">
      <c r="A21" s="38" t="inlineStr">
        <is>
          <t>5.19</t>
        </is>
      </c>
      <c r="B21" s="56" t="inlineStr">
        <is>
          <t>Démolition des systèmes électriques</t>
        </is>
      </c>
      <c r="C21" s="57" t="n">
        <v>0</v>
      </c>
      <c r="D21" s="43" t="n">
        <v>38.4</v>
      </c>
      <c r="E21" s="57" t="n">
        <v>3266.82</v>
      </c>
      <c r="F21" s="57" t="n">
        <v>3266.82</v>
      </c>
      <c r="G21" s="58" t="n">
        <v>4064</v>
      </c>
    </row>
    <row r="22">
      <c r="A22" s="49" t="n"/>
      <c r="B22" s="50" t="inlineStr">
        <is>
          <t>TOTAL ÉLECTRICITÉ (avant taxes)</t>
        </is>
      </c>
      <c r="C22" s="59">
        <f>SUM(C4:C21)</f>
        <v/>
      </c>
      <c r="D22" s="52">
        <f>SUM(D4:D21)</f>
        <v/>
      </c>
      <c r="E22" s="59">
        <f>SUM(E4:E21)</f>
        <v/>
      </c>
      <c r="F22" s="59">
        <f>SUM(F4:F21)</f>
        <v/>
      </c>
      <c r="G22" s="59">
        <f>SUM(G4:G21)</f>
        <v/>
      </c>
    </row>
    <row r="23">
      <c r="A23" s="60" t="n"/>
      <c r="B23" s="61" t="inlineStr">
        <is>
          <t>TPS 5 %</t>
        </is>
      </c>
      <c r="C23" s="60" t="n"/>
      <c r="D23" s="60" t="n"/>
      <c r="E23" s="60" t="n"/>
      <c r="F23" s="60" t="n"/>
      <c r="G23" s="62">
        <f>ROUND(G22*0.05,2)</f>
        <v/>
      </c>
    </row>
    <row r="24">
      <c r="A24" s="60" t="n"/>
      <c r="B24" s="61" t="inlineStr">
        <is>
          <t>TVQ 9,975 %</t>
        </is>
      </c>
      <c r="C24" s="60" t="n"/>
      <c r="D24" s="60" t="n"/>
      <c r="E24" s="60" t="n"/>
      <c r="F24" s="60" t="n"/>
      <c r="G24" s="62">
        <f>ROUND(G22*0.09975,2)</f>
        <v/>
      </c>
    </row>
    <row r="25">
      <c r="A25" s="60" t="n"/>
      <c r="B25" s="63" t="inlineStr">
        <is>
          <t>TOTAL TAXES INCLUSES</t>
        </is>
      </c>
      <c r="C25" s="60" t="n"/>
      <c r="D25" s="60" t="n"/>
      <c r="E25" s="60" t="n"/>
      <c r="F25" s="60" t="n"/>
      <c r="G25" s="64">
        <f>G22+G23+G24</f>
        <v/>
      </c>
    </row>
  </sheetData>
  <mergeCells count="2">
    <mergeCell ref="B2:G2"/>
    <mergeCell ref="B1:G1"/>
  </mergeCells>
  <pageMargins left="0.4" right="0.4" top="0.6" bottom="0.6" header="0.3" footer="0.3"/>
  <pageSetup orientation="portrait" paperSize="1" fitToHeight="0" fitToWidth="1"/>
  <headerFooter>
    <oddHeader>&amp;L&amp;"Arial,Bold"&amp;9Le Groupe DR Électrique inc. — S-1902 Bibliothèque Georgette-Lepage&amp;R&amp;9Chiffrage méthode Dupuis — 2026-10-26</oddHeader>
    <oddFooter>&amp;L&amp;8DR Électrique inc. | Merci de votre confiance&amp;R&amp;8Page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2026-10-27T17:26:42Z</dcterms:created>
  <dcterms:modified xsi:type="dcterms:W3CDTF">2026-10-27T17:26:43Z</dcterms:modified>
</cp:coreProperties>
</file>