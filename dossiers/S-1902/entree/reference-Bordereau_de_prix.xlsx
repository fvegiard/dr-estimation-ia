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U:\Appro\Commun\0702 AO\2026\SP\SP-GTER-26-0080 Travaux d’aménagement - Implantation Technologie RFID bibliothèque (ND)\1- Préparation\2- Docs AO\"/>
    </mc:Choice>
  </mc:AlternateContent>
  <xr:revisionPtr revIDLastSave="0" documentId="13_ncr:1_{D2EF5F68-6F29-4B64-9E9A-5F937F79BD7C}" xr6:coauthVersionLast="47" xr6:coauthVersionMax="47" xr10:uidLastSave="{00000000-0000-0000-0000-000000000000}"/>
  <bookViews>
    <workbookView xWindow="-120" yWindow="-120" windowWidth="29040" windowHeight="15840" xr2:uid="{00000000-000D-0000-FFFF-FFFF00000000}"/>
  </bookViews>
  <sheets>
    <sheet name="Bordereau de prix" sheetId="1" r:id="rId1"/>
  </sheets>
  <definedNames>
    <definedName name="_xlnm.Print_Titles" localSheetId="0">'Bordereau de prix'!$7:$7</definedName>
    <definedName name="_xlnm.Print_Area" localSheetId="0">'Bordereau de prix'!$A$1:$F$159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7" i="1" l="1"/>
  <c r="F136" i="1"/>
  <c r="F135" i="1"/>
  <c r="F134" i="1"/>
  <c r="F133" i="1"/>
  <c r="F132" i="1"/>
  <c r="F131" i="1"/>
  <c r="F130" i="1"/>
  <c r="F129" i="1"/>
  <c r="F128" i="1"/>
  <c r="F127" i="1"/>
  <c r="F126" i="1"/>
  <c r="F124" i="1"/>
  <c r="F123" i="1"/>
  <c r="F122" i="1"/>
  <c r="F121" i="1"/>
  <c r="F120" i="1"/>
  <c r="F119" i="1"/>
  <c r="F118" i="1"/>
  <c r="F113" i="1"/>
  <c r="F112" i="1"/>
  <c r="F111" i="1"/>
  <c r="F110" i="1"/>
  <c r="F109" i="1"/>
  <c r="F108" i="1"/>
  <c r="F106" i="1"/>
  <c r="F105" i="1"/>
  <c r="F104" i="1"/>
  <c r="F103" i="1"/>
  <c r="F102" i="1"/>
  <c r="F101" i="1"/>
  <c r="F100" i="1"/>
  <c r="F88" i="1"/>
  <c r="F87" i="1"/>
  <c r="F86" i="1"/>
  <c r="F85" i="1"/>
  <c r="F84" i="1"/>
  <c r="F83" i="1"/>
  <c r="F82" i="1"/>
  <c r="F81" i="1"/>
  <c r="F80" i="1"/>
  <c r="F79" i="1"/>
  <c r="F70" i="1"/>
  <c r="F71" i="1"/>
  <c r="F68" i="1"/>
  <c r="F67" i="1"/>
  <c r="F66" i="1"/>
  <c r="F63" i="1"/>
  <c r="F62" i="1"/>
  <c r="F61" i="1"/>
  <c r="F60" i="1"/>
  <c r="F59" i="1"/>
  <c r="F58" i="1"/>
  <c r="F57" i="1"/>
  <c r="F54" i="1"/>
  <c r="F53" i="1"/>
  <c r="F52" i="1"/>
  <c r="F51" i="1"/>
  <c r="F50" i="1"/>
  <c r="F49" i="1"/>
  <c r="F44" i="1"/>
  <c r="F43" i="1"/>
  <c r="F42" i="1"/>
  <c r="F41" i="1"/>
  <c r="F40" i="1"/>
  <c r="F39" i="1"/>
  <c r="F38" i="1"/>
  <c r="F37" i="1"/>
  <c r="F36" i="1"/>
  <c r="F35" i="1"/>
  <c r="F22" i="1"/>
  <c r="F32" i="1"/>
  <c r="F31" i="1"/>
  <c r="F30" i="1"/>
  <c r="F27" i="1"/>
  <c r="F26" i="1"/>
  <c r="F25" i="1"/>
  <c r="F24" i="1"/>
  <c r="F23" i="1"/>
  <c r="F17" i="1"/>
  <c r="F16" i="1"/>
  <c r="F15" i="1"/>
  <c r="F14" i="1"/>
  <c r="F13" i="1"/>
  <c r="F12" i="1"/>
  <c r="F11" i="1"/>
  <c r="F141" i="1"/>
  <c r="F140" i="1"/>
  <c r="F94" i="1"/>
  <c r="F93" i="1"/>
  <c r="F92" i="1"/>
  <c r="F90" i="1"/>
  <c r="F78" i="1"/>
  <c r="F76" i="1"/>
  <c r="F56" i="1"/>
  <c r="F48" i="1"/>
  <c r="F117" i="1"/>
  <c r="F99" i="1"/>
  <c r="F74" i="1"/>
  <c r="F65" i="1"/>
  <c r="F34" i="1"/>
  <c r="F29" i="1"/>
  <c r="F21" i="1"/>
  <c r="F10" i="1"/>
  <c r="F142" i="1" l="1"/>
  <c r="F114" i="1"/>
  <c r="F96" i="1"/>
  <c r="F45" i="1"/>
  <c r="F138" i="1"/>
  <c r="F18" i="1"/>
  <c r="F143" i="1" l="1"/>
  <c r="F145" i="1" l="1"/>
  <c r="F144" i="1"/>
  <c r="F146" i="1" l="1"/>
</calcChain>
</file>

<file path=xl/sharedStrings.xml><?xml version="1.0" encoding="utf-8"?>
<sst xmlns="http://schemas.openxmlformats.org/spreadsheetml/2006/main" count="368" uniqueCount="262">
  <si>
    <t>TOTAL</t>
  </si>
  <si>
    <t>TPS 5 %</t>
  </si>
  <si>
    <t>TVQ 9,975 %</t>
  </si>
  <si>
    <t>(Nom inscrit au Registraire des entreprises du Québec)</t>
  </si>
  <si>
    <t>Je déclare avoir pris connaissance des exigences d’intégrité auxquelles le public est en droit de s’attendre d’une partie à un contrat public, et dont le respect est évalué au regard notamment des éléments prévus aux articles 21.26, 21.26.1 et 21.28 de la Loi sur les contrats des organismes publics (chapitre C-65.1), et je m’engage à prendre toutes les mesures nécessaires pour y satisfaire pendant toute la durée du contrat à être conclu.</t>
  </si>
  <si>
    <t>Article</t>
  </si>
  <si>
    <t>Description</t>
  </si>
  <si>
    <t>Quantité</t>
  </si>
  <si>
    <t>Unité</t>
  </si>
  <si>
    <t>Prix unitaire</t>
  </si>
  <si>
    <t>Total</t>
  </si>
  <si>
    <t>SOUS-TOTAL 1.0</t>
  </si>
  <si>
    <t>SOUS-TOTAL 2.0</t>
  </si>
  <si>
    <t>Nom du soumissionnaire :</t>
  </si>
  <si>
    <t>Signature du responsable autorisé :</t>
  </si>
  <si>
    <t>Date :</t>
  </si>
  <si>
    <t>Bordereau de prix</t>
  </si>
  <si>
    <t>Notes : 
La Ville corrigera, s’il y a lieu, les erreurs de calcul du soumissionnaire.
Le soumissionnaire doit inscrire un montant à chaque item du bordereau. Le terme "inclus" ou laisser une case vide pourrait entraîner le rejet de votre soumission.
Le rôle du présent fichier Excel est de supporter le soumissionnaire dans la présentation de son offre. Le soumissionnaire est entièrement responsable de son utilisation et de son exactitude.
Les quantités indiquées au Bordereau de Prix sont approximatives et sont indiquées uniquement pour les fins de l’adjudication du Contrat.</t>
  </si>
  <si>
    <t>1.0</t>
  </si>
  <si>
    <t>1.2</t>
  </si>
  <si>
    <t>1.3</t>
  </si>
  <si>
    <t>2.0</t>
  </si>
  <si>
    <t>2.1</t>
  </si>
  <si>
    <t>2.2</t>
  </si>
  <si>
    <t>2.3</t>
  </si>
  <si>
    <t>Annexe 2.00</t>
  </si>
  <si>
    <t>Technologie RFID – Bibliothèque Georgette-Lepage - Travaux d’aménagement du rez-de-chaussée et de l’étage</t>
  </si>
  <si>
    <t>Superstructure et enveloppe</t>
  </si>
  <si>
    <t>Type T-1 : Démolition</t>
  </si>
  <si>
    <t>Type T-1 : Constructioon</t>
  </si>
  <si>
    <t>Type T-1 : Remplacement drains de toit</t>
  </si>
  <si>
    <t>1.4</t>
  </si>
  <si>
    <t>1.5</t>
  </si>
  <si>
    <t>1.6</t>
  </si>
  <si>
    <t>Type T-2 : Démolition</t>
  </si>
  <si>
    <t>Type T-2 : Constructioon</t>
  </si>
  <si>
    <t>Type T-2 : Remplacement drains de toit</t>
  </si>
  <si>
    <t>1.7</t>
  </si>
  <si>
    <t>1.8</t>
  </si>
  <si>
    <t>Parapet - réfection et solinage</t>
  </si>
  <si>
    <t>Base d'équipement mécanique</t>
  </si>
  <si>
    <t>1.9</t>
  </si>
  <si>
    <t>$</t>
  </si>
  <si>
    <t>Aménagement intérieur</t>
  </si>
  <si>
    <t>2.4</t>
  </si>
  <si>
    <t>2.5</t>
  </si>
  <si>
    <t>2.6</t>
  </si>
  <si>
    <t>2.7</t>
  </si>
  <si>
    <t>2.8</t>
  </si>
  <si>
    <t>2.9</t>
  </si>
  <si>
    <t>2.10</t>
  </si>
  <si>
    <t>2.11</t>
  </si>
  <si>
    <t>2.12</t>
  </si>
  <si>
    <t>2.13</t>
  </si>
  <si>
    <t>Cloison - 10K (panneaux de gypse 15,9mm + colombage de 64mm)</t>
  </si>
  <si>
    <t>Cloison - 20A (panneaux de gypse 12,7mm + colombage de 64mm + panneau de gypse 12,7mm)</t>
  </si>
  <si>
    <t>Signalisation</t>
  </si>
  <si>
    <t>Fonds de clouage pour accessoires intégrés</t>
  </si>
  <si>
    <t>Protection de coin en L</t>
  </si>
  <si>
    <t>Protection de coin en U</t>
  </si>
  <si>
    <t>Portes coulissantes</t>
  </si>
  <si>
    <t>Quincaillerie spéciale pour portes intérieures</t>
  </si>
  <si>
    <t>Mur rideau</t>
  </si>
  <si>
    <t>Pellicule</t>
  </si>
  <si>
    <t>2.14</t>
  </si>
  <si>
    <t>2.15</t>
  </si>
  <si>
    <t>2.16</t>
  </si>
  <si>
    <t>2.17</t>
  </si>
  <si>
    <t>2.18</t>
  </si>
  <si>
    <t>2.19</t>
  </si>
  <si>
    <t>2.20</t>
  </si>
  <si>
    <t>2.21</t>
  </si>
  <si>
    <t>2.22</t>
  </si>
  <si>
    <t>Peinture cloison et mur existants</t>
  </si>
  <si>
    <t>Peinture des nouvelles cloisons de gypse</t>
  </si>
  <si>
    <t>PL-1</t>
  </si>
  <si>
    <t>Plafond retombé de gypse</t>
  </si>
  <si>
    <t>Peinture plafond</t>
  </si>
  <si>
    <t>3.0</t>
  </si>
  <si>
    <t>Services</t>
  </si>
  <si>
    <t>3.1</t>
  </si>
  <si>
    <t>3.2</t>
  </si>
  <si>
    <t>3.3</t>
  </si>
  <si>
    <t>3.4</t>
  </si>
  <si>
    <t>3.5</t>
  </si>
  <si>
    <t>3.6</t>
  </si>
  <si>
    <t>3.7</t>
  </si>
  <si>
    <t>3.8</t>
  </si>
  <si>
    <t>3.9</t>
  </si>
  <si>
    <t>3.10</t>
  </si>
  <si>
    <t>3.11</t>
  </si>
  <si>
    <t>3.12</t>
  </si>
  <si>
    <t>3.13</t>
  </si>
  <si>
    <t>3.14</t>
  </si>
  <si>
    <t>3.15</t>
  </si>
  <si>
    <t>3.16</t>
  </si>
  <si>
    <t>3.17</t>
  </si>
  <si>
    <t>Fontaine</t>
  </si>
  <si>
    <t>Raccordement fontaine</t>
  </si>
  <si>
    <t>cheminées</t>
  </si>
  <si>
    <t>Raccordement humidificateur</t>
  </si>
  <si>
    <t>Autres systèmes de plomberie</t>
  </si>
  <si>
    <t>Unité UTA-01 et installation</t>
  </si>
  <si>
    <t>Système d'extraction (ve-01 et bras de captation)</t>
  </si>
  <si>
    <t>Conduits</t>
  </si>
  <si>
    <t>Grilles et diffuseur</t>
  </si>
  <si>
    <t>Humidificateurs et installation</t>
  </si>
  <si>
    <t>Balancement</t>
  </si>
  <si>
    <t>Retrait et réinstallation des équipements au toit</t>
  </si>
  <si>
    <t>Contrôles : UTA-01</t>
  </si>
  <si>
    <t>3.18</t>
  </si>
  <si>
    <t>3.19</t>
  </si>
  <si>
    <t>Contrôles : Chaudières</t>
  </si>
  <si>
    <t>Contrôles : Humidificateurs</t>
  </si>
  <si>
    <t>Protection incendie : Construction</t>
  </si>
  <si>
    <t>4.0</t>
  </si>
  <si>
    <t>Équipements et ameublement</t>
  </si>
  <si>
    <t>4.1</t>
  </si>
  <si>
    <t>4.2</t>
  </si>
  <si>
    <t>4.3</t>
  </si>
  <si>
    <t>4.4</t>
  </si>
  <si>
    <t>4.5</t>
  </si>
  <si>
    <t>4.6</t>
  </si>
  <si>
    <t>4.7</t>
  </si>
  <si>
    <t>4.8</t>
  </si>
  <si>
    <t>4.9</t>
  </si>
  <si>
    <t>4.10</t>
  </si>
  <si>
    <t>4.11</t>
  </si>
  <si>
    <t>4.12</t>
  </si>
  <si>
    <t>4.13</t>
  </si>
  <si>
    <t>4.14</t>
  </si>
  <si>
    <t>M-02 - mobilier modifié</t>
  </si>
  <si>
    <t>M-03 - mobilier de stockage</t>
  </si>
  <si>
    <t>M-04 - contour étagères</t>
  </si>
  <si>
    <t>M-04.A - contour étagères</t>
  </si>
  <si>
    <t>M-06 - armoire</t>
  </si>
  <si>
    <t>M-07 - table chute de retour</t>
  </si>
  <si>
    <t>Cabines de travail acoustique</t>
  </si>
  <si>
    <t>Mobilier à acheter</t>
  </si>
  <si>
    <t>5.0</t>
  </si>
  <si>
    <t>Construction spéciale et démolition</t>
  </si>
  <si>
    <t>5.1</t>
  </si>
  <si>
    <t>5.2</t>
  </si>
  <si>
    <t>5.3</t>
  </si>
  <si>
    <t>5.4</t>
  </si>
  <si>
    <t>5.5</t>
  </si>
  <si>
    <t>5.6</t>
  </si>
  <si>
    <t>5.7</t>
  </si>
  <si>
    <t>5.8</t>
  </si>
  <si>
    <t>MT-01 chute à livre temporaire</t>
  </si>
  <si>
    <t>MT-02 bureaux avec classeur à caisson - acheter</t>
  </si>
  <si>
    <t>MT-03 comptoir</t>
  </si>
  <si>
    <t>MT-04 comptoir 2</t>
  </si>
  <si>
    <t>MT-05 partition</t>
  </si>
  <si>
    <t>tapis d'hiver</t>
  </si>
  <si>
    <t>portes et cadres à récupérer et installer</t>
  </si>
  <si>
    <t>SOUS-TOTAL 3.0</t>
  </si>
  <si>
    <t>5.9</t>
  </si>
  <si>
    <t>5.10</t>
  </si>
  <si>
    <t>5.11</t>
  </si>
  <si>
    <t>5.12</t>
  </si>
  <si>
    <t>5.13</t>
  </si>
  <si>
    <t>5.14</t>
  </si>
  <si>
    <t>5.15</t>
  </si>
  <si>
    <t>5.16</t>
  </si>
  <si>
    <t>5.17</t>
  </si>
  <si>
    <t>5.18</t>
  </si>
  <si>
    <t>5.19</t>
  </si>
  <si>
    <t>Mobilier à enlever</t>
  </si>
  <si>
    <t>Percement du plancher</t>
  </si>
  <si>
    <t>Percement du plafond gypse</t>
  </si>
  <si>
    <t>Percement du plafond carreaux acoustiques</t>
  </si>
  <si>
    <t>Démolition sélective cloison</t>
  </si>
  <si>
    <t>Démolition plinthe en bois</t>
  </si>
  <si>
    <t>Démolition des systèmes mécaniques</t>
  </si>
  <si>
    <t>Démolition des systèmes électriques</t>
  </si>
  <si>
    <t>Démolition protection incendie</t>
  </si>
  <si>
    <t>SOUS-TOTAL 4.0</t>
  </si>
  <si>
    <t>6.0</t>
  </si>
  <si>
    <t>Frais de chantier et Administration et profits</t>
  </si>
  <si>
    <t>6.1</t>
  </si>
  <si>
    <t>6.2</t>
  </si>
  <si>
    <t>Frais généraux, administration et profit</t>
  </si>
  <si>
    <t>SOUS-TOTAL 6.0</t>
  </si>
  <si>
    <t>Démolition de protes intérieures</t>
  </si>
  <si>
    <t>TOITURE</t>
  </si>
  <si>
    <t>CONSTRUCTION INTÉRIEURE</t>
  </si>
  <si>
    <t>PORTES ET FENÊTRES INTÉRIEURES</t>
  </si>
  <si>
    <t>FINITIONS INTÉRIEURES</t>
  </si>
  <si>
    <t>PLOMBERIE</t>
  </si>
  <si>
    <t>VENTILATION</t>
  </si>
  <si>
    <t>CONTRÔLES</t>
  </si>
  <si>
    <t>PROTECTION INCENDIE</t>
  </si>
  <si>
    <t>ÉLECTRICITÉ</t>
  </si>
  <si>
    <t>AMEUBLEMENT ET DÉCORATION FIXES</t>
  </si>
  <si>
    <t>AMEUBLEMENT ET DÉCORATIONS MOBILES</t>
  </si>
  <si>
    <t>INSTALLATIONS TEMPORAIRES</t>
  </si>
  <si>
    <t>Démotilion</t>
  </si>
  <si>
    <t>Démolition</t>
  </si>
  <si>
    <t>Contrôles : Système VE-01</t>
  </si>
  <si>
    <t>3.20</t>
  </si>
  <si>
    <t>Démontage des éléments électriques</t>
  </si>
  <si>
    <t>Mécanique</t>
  </si>
  <si>
    <t>3.21</t>
  </si>
  <si>
    <t>Raccordement des équipements mécaniques</t>
  </si>
  <si>
    <t>Distribution</t>
  </si>
  <si>
    <t>3.22</t>
  </si>
  <si>
    <t>3.23</t>
  </si>
  <si>
    <t>3.24</t>
  </si>
  <si>
    <t>3.25</t>
  </si>
  <si>
    <t>3.26</t>
  </si>
  <si>
    <t>Nouveau panneau 600V</t>
  </si>
  <si>
    <t>Lot disjoncteurs</t>
  </si>
  <si>
    <t>MCC</t>
  </si>
  <si>
    <t>Prises doubles 15A-120V - usb</t>
  </si>
  <si>
    <t>Prises doubles 15A-120V</t>
  </si>
  <si>
    <t>3.27</t>
  </si>
  <si>
    <t>3.28</t>
  </si>
  <si>
    <t>3.29</t>
  </si>
  <si>
    <t>3.30</t>
  </si>
  <si>
    <t>3.31</t>
  </si>
  <si>
    <t>3.32</t>
  </si>
  <si>
    <t>3.33</t>
  </si>
  <si>
    <t>Prises doubles 15A-120V GFI</t>
  </si>
  <si>
    <t>Percements, conduit filage et boîte de jonction</t>
  </si>
  <si>
    <t>Scan dalle béton</t>
  </si>
  <si>
    <t>Moinument plancher</t>
  </si>
  <si>
    <t>3.34</t>
  </si>
  <si>
    <t>3.35</t>
  </si>
  <si>
    <t>Éclairage, éclairage d'urgence et contrôle</t>
  </si>
  <si>
    <t>Appareil de contrôle + appareils d'éclairage</t>
  </si>
  <si>
    <t>Alarme incendie</t>
  </si>
  <si>
    <t>Détecteur de fumée</t>
  </si>
  <si>
    <t>Panneau alarme incendie : déplacement annonciateur</t>
  </si>
  <si>
    <t>3.36</t>
  </si>
  <si>
    <t>Panneau alarme incendie : mise en marche et certification</t>
  </si>
  <si>
    <t>Appel d’offres SP-GTER-26-0080</t>
  </si>
  <si>
    <t>SOUS-TOTAL (1.0 à 6.0)</t>
  </si>
  <si>
    <t>3.37</t>
  </si>
  <si>
    <t>3.38</t>
  </si>
  <si>
    <t>5.20</t>
  </si>
  <si>
    <t>Cloison 31F (panneau gypse de 15,9mm + colombage de 92 mm remplie de laine + panneau de gypse 15,9mm)</t>
  </si>
  <si>
    <t>V1 (planche vinyle + installation)</t>
  </si>
  <si>
    <t>V2 (planche vinyle + installation)</t>
  </si>
  <si>
    <t>Tuile acoustique en placage de bois + installation</t>
  </si>
  <si>
    <t>Moulure de transition - céramique pour vinyle</t>
  </si>
  <si>
    <t>Plafond suspendu acoustique (carreaux et trames)</t>
  </si>
  <si>
    <t>Ragréage plafond suspendu existant</t>
  </si>
  <si>
    <t>Chaudière et installation</t>
  </si>
  <si>
    <t>Prises doubles 15A-120V MALT isolées</t>
  </si>
  <si>
    <t>Sorties informatique/réseau</t>
  </si>
  <si>
    <t>M-01 - mobilier de l'accueil RDC</t>
  </si>
  <si>
    <t>M-05 - mobilier de l'accueil Étage</t>
  </si>
  <si>
    <t>Livraison et installation -Cabines acoustiques</t>
  </si>
  <si>
    <t>Panneaux acoustiques muraux Zen (accueil du rez-de-chaussée) et moulure</t>
  </si>
  <si>
    <t>Panneaux acoustiques muraux (hall 107et accueil du rez-de-chaussée) et moulure</t>
  </si>
  <si>
    <t>Étagères</t>
  </si>
  <si>
    <t>Cloison - 31F (panneau de gypse 15,9mm + colombage de 92mm remplie de laine + panneau de gypse 15,9mm)</t>
  </si>
  <si>
    <t>DÉMANTÈLEMENT D'ÉLÉMENT DE BÂTIMENT</t>
  </si>
  <si>
    <t>Mobilier à enlever et remettre (entreposage + réinstallation)</t>
  </si>
  <si>
    <t>Démolition de fenêtres intérieures</t>
  </si>
  <si>
    <t>Conditions de mise en œuvre et autres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</si>
</sst>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 #,##0.00_)\ &quot;$&quot;_ ;_ * \(#,##0.00\)\ &quot;$&quot;_ ;_ * &quot;-&quot;??_)\ &quot;$&quot;_ ;_ @_ "/>
    <numFmt numFmtId="164" formatCode="[$-F800]dddd\,\ mmmm\ dd\,\ yyyy"/>
    <numFmt numFmtId="165" formatCode="#,##0.0000\ &quot;$&quot;_);\(#,##0.0000\ &quot;$&quot;\)"/>
  </numFmts>
  <fonts count="20" x14ac:knownFonts="1">
    <font>
      <sz val="11"/>
      <color theme="1"/>
      <name val="Aptos Narrow"/>
      <family val="2"/>
      <scheme val="minor"/>
    </font>
    <font>
      <sz val="11"/>
      <color theme="1"/>
      <name val="Aptos Narrow"/>
      <family val="2"/>
      <scheme val="minor"/>
    </font>
    <font>
      <b/>
      <sz val="10"/>
      <color theme="1"/>
      <name val="Arial"/>
      <family val="2"/>
    </font>
    <font>
      <b/>
      <sz val="11"/>
      <color theme="1"/>
      <name val="Arial"/>
      <family val="2"/>
    </font>
    <font>
      <b/>
      <sz val="10"/>
      <color rgb="FFFFFFFF"/>
      <name val="Arial"/>
      <family val="2"/>
    </font>
    <font>
      <sz val="10"/>
      <name val="Arial"/>
      <family val="2"/>
    </font>
    <font>
      <sz val="10"/>
      <color theme="1"/>
      <name val="Arial"/>
      <family val="2"/>
    </font>
    <font>
      <sz val="10"/>
      <color rgb="FF000000"/>
      <name val="Arial"/>
      <family val="2"/>
    </font>
    <font>
      <sz val="10"/>
      <color rgb="FFFF0000"/>
      <name val="Arial"/>
      <family val="2"/>
    </font>
    <font>
      <sz val="16"/>
      <color theme="1"/>
      <name val="Arial"/>
      <family val="2"/>
    </font>
    <font>
      <sz val="11"/>
      <color theme="1"/>
      <name val="Arial"/>
      <family val="2"/>
    </font>
    <font>
      <sz val="12"/>
      <color rgb="FFFFFFFF"/>
      <name val="Arial"/>
      <family val="2"/>
    </font>
    <font>
      <sz val="9"/>
      <color theme="1"/>
      <name val="Arial"/>
      <family val="2"/>
    </font>
    <font>
      <b/>
      <sz val="16"/>
      <color theme="1"/>
      <name val="Arial"/>
      <family val="2"/>
    </font>
    <font>
      <b/>
      <sz val="18"/>
      <color theme="1"/>
      <name val="Arial"/>
      <family val="2"/>
    </font>
    <font>
      <sz val="16"/>
      <name val="Arial"/>
      <family val="2"/>
    </font>
    <font>
      <b/>
      <sz val="10"/>
      <name val="Arial"/>
      <family val="2"/>
    </font>
    <font>
      <b/>
      <sz val="10"/>
      <color rgb="FF000000"/>
      <name val="Arial"/>
      <family val="2"/>
    </font>
    <font>
      <b/>
      <sz val="26"/>
      <name val="Arial"/>
      <family val="2"/>
    </font>
    <font>
      <sz val="8"/>
      <name val="Aptos Narrow"/>
      <family val="2"/>
      <scheme val="minor"/>
    </font>
  </fonts>
  <fills count="8">
    <fill>
      <patternFill patternType="none"/>
    </fill>
    <fill>
      <patternFill patternType="gray125"/>
    </fill>
    <fill>
      <patternFill patternType="solid">
        <fgColor theme="0"/>
        <bgColor indexed="64"/>
      </patternFill>
    </fill>
    <fill>
      <patternFill patternType="solid">
        <fgColor rgb="FF3C9339"/>
        <bgColor indexed="64"/>
      </patternFill>
    </fill>
    <fill>
      <patternFill patternType="solid">
        <fgColor rgb="FFE5EDE2"/>
        <bgColor indexed="64"/>
      </patternFill>
    </fill>
    <fill>
      <patternFill patternType="solid">
        <fgColor rgb="FFF5F1EB"/>
        <bgColor indexed="64"/>
      </patternFill>
    </fill>
    <fill>
      <patternFill patternType="solid">
        <fgColor theme="7" tint="0.79998168889431442"/>
        <bgColor indexed="64"/>
      </patternFill>
    </fill>
    <fill>
      <patternFill patternType="solid">
        <fgColor theme="2"/>
        <bgColor indexed="64"/>
      </patternFill>
    </fill>
  </fills>
  <borders count="8">
    <border>
      <left/>
      <right/>
      <top/>
      <bottom/>
      <diagonal/>
    </border>
    <border>
      <left/>
      <right/>
      <top/>
      <bottom style="thin">
        <color indexed="64"/>
      </bottom>
      <diagonal/>
    </border>
    <border>
      <left/>
      <right/>
      <top style="thin">
        <color indexed="64"/>
      </top>
      <bottom/>
      <diagonal/>
    </border>
    <border>
      <left/>
      <right/>
      <top/>
      <bottom style="thin">
        <color rgb="FF94B68A"/>
      </bottom>
      <diagonal/>
    </border>
    <border>
      <left/>
      <right/>
      <top style="thin">
        <color rgb="FF94B68A"/>
      </top>
      <bottom style="thin">
        <color rgb="FF94B68A"/>
      </bottom>
      <diagonal/>
    </border>
    <border>
      <left/>
      <right/>
      <top style="thin">
        <color rgb="FF94B68A"/>
      </top>
      <bottom/>
      <diagonal/>
    </border>
    <border>
      <left style="thin">
        <color indexed="64"/>
      </left>
      <right style="thin">
        <color indexed="64"/>
      </right>
      <top style="thin">
        <color indexed="64"/>
      </top>
      <bottom style="thin">
        <color indexed="64"/>
      </bottom>
      <diagonal/>
    </border>
    <border>
      <left/>
      <right/>
      <top style="thin">
        <color rgb="FF94B68A"/>
      </top>
      <bottom style="thin">
        <color auto="1"/>
      </bottom>
      <diagonal/>
    </border>
  </borders>
  <cellStyleXfs count="3">
    <xf numFmtId="0" fontId="0" fillId="0" borderId="0"/>
    <xf numFmtId="44" fontId="1" fillId="0" borderId="0" applyFont="0" applyFill="0" applyBorder="0" applyAlignment="0" applyProtection="0"/>
    <xf numFmtId="0" fontId="5" fillId="0" borderId="0"/>
  </cellStyleXfs>
  <cellXfs count="80">
    <xf numFmtId="0" fontId="0" fillId="0" borderId="0" xfId="0"/>
    <xf numFmtId="44" fontId="11" fillId="3" borderId="0" xfId="1" applyFont="1" applyFill="1" applyBorder="1" applyAlignment="1" applyProtection="1">
      <alignment horizontal="center" vertical="center"/>
    </xf>
    <xf numFmtId="44" fontId="0" fillId="0" borderId="0" xfId="1" applyFont="1" applyProtection="1"/>
    <xf numFmtId="0" fontId="11" fillId="3" borderId="0" xfId="0" applyFont="1" applyFill="1" applyAlignment="1">
      <alignment horizontal="center" vertical="center" wrapText="1"/>
    </xf>
    <xf numFmtId="0" fontId="11" fillId="3" borderId="0" xfId="0" applyFont="1" applyFill="1" applyAlignment="1">
      <alignment horizontal="center" vertical="center"/>
    </xf>
    <xf numFmtId="0" fontId="2" fillId="4" borderId="0" xfId="0" applyFont="1" applyFill="1" applyAlignment="1">
      <alignment vertical="center"/>
    </xf>
    <xf numFmtId="44" fontId="0" fillId="0" borderId="0" xfId="1" applyFont="1" applyFill="1" applyProtection="1"/>
    <xf numFmtId="0" fontId="5" fillId="0" borderId="3" xfId="0" applyFont="1" applyBorder="1" applyAlignment="1">
      <alignment horizontal="center" vertical="center"/>
    </xf>
    <xf numFmtId="0" fontId="6" fillId="0" borderId="3" xfId="0" applyFont="1" applyBorder="1" applyAlignment="1">
      <alignment horizontal="center" vertical="center"/>
    </xf>
    <xf numFmtId="44" fontId="7" fillId="0" borderId="3" xfId="0" applyNumberFormat="1" applyFont="1" applyBorder="1" applyAlignment="1">
      <alignment horizontal="right" vertical="center"/>
    </xf>
    <xf numFmtId="0" fontId="8" fillId="0" borderId="4" xfId="0" applyFont="1" applyBorder="1" applyAlignment="1">
      <alignment horizontal="left" vertical="center" wrapText="1"/>
    </xf>
    <xf numFmtId="0" fontId="5" fillId="0" borderId="4" xfId="0" applyFont="1" applyBorder="1" applyAlignment="1">
      <alignment horizontal="center" vertical="center"/>
    </xf>
    <xf numFmtId="0" fontId="6" fillId="0" borderId="4" xfId="0" applyFont="1" applyBorder="1" applyAlignment="1">
      <alignment horizontal="center" vertical="center"/>
    </xf>
    <xf numFmtId="44" fontId="7" fillId="0" borderId="4" xfId="0" applyNumberFormat="1" applyFont="1" applyBorder="1" applyAlignment="1">
      <alignment horizontal="right" vertical="center"/>
    </xf>
    <xf numFmtId="0" fontId="3" fillId="0" borderId="0" xfId="0" applyFont="1" applyAlignment="1">
      <alignment horizontal="justify" vertical="center" wrapText="1"/>
    </xf>
    <xf numFmtId="0" fontId="2" fillId="0" borderId="0" xfId="0" applyFont="1" applyAlignment="1">
      <alignment horizontal="right" vertical="center"/>
    </xf>
    <xf numFmtId="0" fontId="6" fillId="0" borderId="0" xfId="0" applyFont="1"/>
    <xf numFmtId="0" fontId="6" fillId="0" borderId="0" xfId="0" applyFont="1" applyAlignment="1">
      <alignment horizontal="left" vertical="center"/>
    </xf>
    <xf numFmtId="0" fontId="6" fillId="0" borderId="0" xfId="0" applyFont="1" applyAlignment="1">
      <alignment vertical="center"/>
    </xf>
    <xf numFmtId="0" fontId="2"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14" fillId="0" borderId="0" xfId="0" applyFont="1" applyAlignment="1">
      <alignment horizontal="center" vertical="center"/>
    </xf>
    <xf numFmtId="44" fontId="2" fillId="0" borderId="4" xfId="0" applyNumberFormat="1" applyFont="1" applyBorder="1" applyAlignment="1">
      <alignment horizontal="right" vertical="center"/>
    </xf>
    <xf numFmtId="44" fontId="2" fillId="0" borderId="5" xfId="0" applyNumberFormat="1" applyFont="1" applyBorder="1" applyAlignment="1">
      <alignment horizontal="right" vertical="center"/>
    </xf>
    <xf numFmtId="44" fontId="2" fillId="0" borderId="3" xfId="0" applyNumberFormat="1" applyFont="1" applyBorder="1" applyAlignment="1">
      <alignment horizontal="right" vertical="center"/>
    </xf>
    <xf numFmtId="0" fontId="16" fillId="4" borderId="4" xfId="0" applyFont="1" applyFill="1" applyBorder="1" applyAlignment="1">
      <alignment horizontal="left" vertical="center" wrapText="1"/>
    </xf>
    <xf numFmtId="0" fontId="5" fillId="4" borderId="4" xfId="0" applyFont="1" applyFill="1" applyBorder="1" applyAlignment="1">
      <alignment horizontal="center" vertical="center"/>
    </xf>
    <xf numFmtId="0" fontId="6" fillId="4" borderId="4" xfId="0" applyFont="1" applyFill="1" applyBorder="1" applyAlignment="1">
      <alignment horizontal="center" vertical="center"/>
    </xf>
    <xf numFmtId="44" fontId="7" fillId="4" borderId="4" xfId="0" applyNumberFormat="1" applyFont="1" applyFill="1" applyBorder="1" applyAlignment="1">
      <alignment horizontal="right" vertical="center"/>
    </xf>
    <xf numFmtId="0" fontId="2" fillId="4" borderId="4" xfId="0" applyFont="1" applyFill="1" applyBorder="1" applyAlignment="1">
      <alignment horizontal="center" vertical="center" wrapText="1"/>
    </xf>
    <xf numFmtId="0" fontId="16" fillId="4" borderId="4" xfId="0" applyFont="1" applyFill="1" applyBorder="1" applyAlignment="1">
      <alignment horizontal="center" vertical="center" wrapText="1"/>
    </xf>
    <xf numFmtId="44" fontId="17" fillId="0" borderId="4" xfId="0" applyNumberFormat="1" applyFont="1" applyBorder="1" applyAlignment="1">
      <alignment horizontal="right" vertical="center"/>
    </xf>
    <xf numFmtId="44" fontId="0" fillId="0" borderId="0" xfId="0" applyNumberFormat="1"/>
    <xf numFmtId="44" fontId="17" fillId="0" borderId="3" xfId="0" applyNumberFormat="1" applyFont="1" applyBorder="1" applyAlignment="1">
      <alignment horizontal="right" vertical="center"/>
    </xf>
    <xf numFmtId="0" fontId="6" fillId="0" borderId="7" xfId="0" applyFont="1" applyBorder="1" applyAlignment="1">
      <alignment horizontal="center" vertical="center" wrapText="1"/>
    </xf>
    <xf numFmtId="0" fontId="5" fillId="0" borderId="7" xfId="0" applyFont="1" applyBorder="1" applyAlignment="1">
      <alignment horizontal="center" vertical="center"/>
    </xf>
    <xf numFmtId="0" fontId="6" fillId="0" borderId="7" xfId="0" applyFont="1" applyBorder="1" applyAlignment="1">
      <alignment horizontal="center" vertical="center"/>
    </xf>
    <xf numFmtId="44" fontId="7" fillId="0" borderId="7" xfId="0" applyNumberFormat="1" applyFont="1" applyBorder="1" applyAlignment="1">
      <alignment horizontal="right" vertical="center"/>
    </xf>
    <xf numFmtId="0" fontId="2" fillId="6" borderId="0" xfId="0" applyFont="1" applyFill="1" applyAlignment="1">
      <alignment horizontal="center" vertical="center" wrapText="1"/>
    </xf>
    <xf numFmtId="0" fontId="2" fillId="6" borderId="0" xfId="0" applyFont="1" applyFill="1" applyAlignment="1">
      <alignment vertical="center"/>
    </xf>
    <xf numFmtId="0" fontId="2" fillId="6" borderId="0" xfId="0" applyFont="1" applyFill="1" applyAlignment="1">
      <alignment horizontal="left" vertical="center"/>
    </xf>
    <xf numFmtId="0" fontId="6" fillId="6" borderId="4" xfId="0" applyFont="1" applyFill="1" applyBorder="1" applyAlignment="1">
      <alignment horizontal="center" vertical="center" wrapText="1"/>
    </xf>
    <xf numFmtId="0" fontId="5" fillId="6" borderId="4" xfId="0" applyFont="1" applyFill="1" applyBorder="1" applyAlignment="1">
      <alignment horizontal="center" vertical="center"/>
    </xf>
    <xf numFmtId="0" fontId="6" fillId="6" borderId="4" xfId="0" applyFont="1" applyFill="1" applyBorder="1" applyAlignment="1">
      <alignment horizontal="center" vertical="center"/>
    </xf>
    <xf numFmtId="44" fontId="7" fillId="6" borderId="4" xfId="0" applyNumberFormat="1" applyFont="1" applyFill="1" applyBorder="1" applyAlignment="1">
      <alignment horizontal="right" vertical="center"/>
    </xf>
    <xf numFmtId="0" fontId="16" fillId="6" borderId="4" xfId="0" applyFont="1" applyFill="1" applyBorder="1" applyAlignment="1">
      <alignment horizontal="left" vertical="center" wrapText="1"/>
    </xf>
    <xf numFmtId="0" fontId="2" fillId="6" borderId="4" xfId="0" applyFont="1" applyFill="1" applyBorder="1" applyAlignment="1">
      <alignment horizontal="center" vertical="center" wrapText="1"/>
    </xf>
    <xf numFmtId="0" fontId="16" fillId="6" borderId="4" xfId="0" applyFont="1" applyFill="1" applyBorder="1" applyAlignment="1">
      <alignment horizontal="center" vertical="center" wrapText="1"/>
    </xf>
    <xf numFmtId="44" fontId="7" fillId="7" borderId="4" xfId="0" applyNumberFormat="1" applyFont="1" applyFill="1" applyBorder="1" applyAlignment="1">
      <alignment horizontal="right" vertical="center"/>
    </xf>
    <xf numFmtId="0" fontId="6" fillId="7" borderId="4" xfId="0" applyFont="1" applyFill="1" applyBorder="1" applyAlignment="1">
      <alignment horizontal="center" vertical="center" wrapText="1"/>
    </xf>
    <xf numFmtId="0" fontId="16" fillId="7" borderId="4" xfId="0" applyFont="1" applyFill="1" applyBorder="1" applyAlignment="1">
      <alignment horizontal="left" vertical="center" wrapText="1"/>
    </xf>
    <xf numFmtId="0" fontId="5" fillId="7" borderId="4" xfId="0" applyFont="1" applyFill="1" applyBorder="1" applyAlignment="1">
      <alignment horizontal="center" vertical="center"/>
    </xf>
    <xf numFmtId="0" fontId="6" fillId="7" borderId="4" xfId="0" applyFont="1" applyFill="1" applyBorder="1" applyAlignment="1">
      <alignment horizontal="center" vertical="center"/>
    </xf>
    <xf numFmtId="0" fontId="5" fillId="0" borderId="4" xfId="0" applyFont="1" applyBorder="1" applyAlignment="1">
      <alignment horizontal="left"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165" fontId="7" fillId="5" borderId="4" xfId="0" applyNumberFormat="1" applyFont="1" applyFill="1" applyBorder="1" applyAlignment="1" applyProtection="1">
      <alignment horizontal="right" vertical="center"/>
      <protection locked="0"/>
    </xf>
    <xf numFmtId="165" fontId="7" fillId="5" borderId="3" xfId="0" applyNumberFormat="1" applyFont="1" applyFill="1" applyBorder="1" applyAlignment="1" applyProtection="1">
      <alignment horizontal="right" vertical="center"/>
      <protection locked="0"/>
    </xf>
    <xf numFmtId="165" fontId="7" fillId="7" borderId="4" xfId="0" applyNumberFormat="1" applyFont="1" applyFill="1" applyBorder="1" applyAlignment="1" applyProtection="1">
      <alignment horizontal="right" vertical="center"/>
      <protection locked="0"/>
    </xf>
    <xf numFmtId="165" fontId="7" fillId="5" borderId="7" xfId="0" applyNumberFormat="1" applyFont="1" applyFill="1" applyBorder="1" applyAlignment="1" applyProtection="1">
      <alignment horizontal="right" vertical="center"/>
      <protection locked="0"/>
    </xf>
    <xf numFmtId="0" fontId="14" fillId="0" borderId="6" xfId="0" applyFont="1" applyBorder="1" applyAlignment="1">
      <alignment horizontal="center" vertical="center"/>
    </xf>
    <xf numFmtId="164" fontId="6" fillId="5" borderId="1" xfId="0" applyNumberFormat="1" applyFont="1" applyFill="1" applyBorder="1" applyAlignment="1" applyProtection="1">
      <alignment horizontal="center" vertical="center"/>
      <protection locked="0"/>
    </xf>
    <xf numFmtId="0" fontId="12" fillId="0" borderId="2" xfId="0" applyFont="1" applyBorder="1" applyAlignment="1">
      <alignment horizontal="center"/>
    </xf>
    <xf numFmtId="0" fontId="2" fillId="0" borderId="0" xfId="0" applyFont="1" applyAlignment="1">
      <alignment horizontal="right" vertical="center"/>
    </xf>
    <xf numFmtId="0" fontId="6" fillId="5" borderId="1" xfId="0" applyFont="1" applyFill="1" applyBorder="1" applyAlignment="1" applyProtection="1">
      <alignment horizontal="center" vertical="center"/>
      <protection locked="0"/>
    </xf>
    <xf numFmtId="0" fontId="2" fillId="0" borderId="4" xfId="0" applyFont="1" applyBorder="1" applyAlignment="1">
      <alignment horizontal="right" vertical="center" wrapText="1"/>
    </xf>
    <xf numFmtId="0" fontId="2" fillId="4" borderId="4" xfId="0" applyFont="1" applyFill="1" applyBorder="1" applyAlignment="1">
      <alignment horizontal="right" vertical="center" wrapText="1"/>
    </xf>
    <xf numFmtId="0" fontId="3" fillId="0" borderId="0" xfId="0" applyFont="1" applyAlignment="1">
      <alignment horizontal="justify" vertical="center" wrapText="1"/>
    </xf>
    <xf numFmtId="0" fontId="13" fillId="0" borderId="0" xfId="0" applyFont="1" applyAlignment="1">
      <alignment horizontal="left" vertical="center"/>
    </xf>
    <xf numFmtId="0" fontId="18" fillId="0" borderId="0" xfId="0" applyFont="1" applyAlignment="1">
      <alignment horizontal="left" vertical="center"/>
    </xf>
    <xf numFmtId="0" fontId="15" fillId="0" borderId="0" xfId="0" applyFont="1" applyAlignment="1">
      <alignment horizontal="left" vertical="center" wrapText="1"/>
    </xf>
    <xf numFmtId="0" fontId="9" fillId="0" borderId="0" xfId="0" applyFont="1" applyAlignment="1">
      <alignment horizontal="left" vertical="center"/>
    </xf>
    <xf numFmtId="0" fontId="10" fillId="0" borderId="0" xfId="0" applyFont="1" applyAlignment="1">
      <alignment horizontal="justify" vertical="center" wrapText="1"/>
    </xf>
    <xf numFmtId="0" fontId="2" fillId="2" borderId="4" xfId="0" applyFont="1" applyFill="1" applyBorder="1" applyAlignment="1">
      <alignment horizontal="right" vertical="center" wrapText="1"/>
    </xf>
    <xf numFmtId="0" fontId="4" fillId="2" borderId="4" xfId="0" applyFont="1" applyFill="1" applyBorder="1" applyAlignment="1">
      <alignment horizontal="right" vertical="center" wrapText="1"/>
    </xf>
    <xf numFmtId="0" fontId="2" fillId="4" borderId="3" xfId="0" applyFont="1" applyFill="1" applyBorder="1" applyAlignment="1">
      <alignment horizontal="right" vertical="center" wrapText="1"/>
    </xf>
    <xf numFmtId="0" fontId="2" fillId="4" borderId="0" xfId="0" applyFont="1" applyFill="1" applyAlignment="1">
      <alignment horizontal="left" vertical="center"/>
    </xf>
    <xf numFmtId="0" fontId="6" fillId="0" borderId="4" xfId="0" applyFont="1" applyBorder="1" applyAlignment="1">
      <alignment horizontal="right" vertical="center" wrapText="1"/>
    </xf>
    <xf numFmtId="0" fontId="2" fillId="0" borderId="3" xfId="0" applyFont="1" applyBorder="1" applyAlignment="1">
      <alignment horizontal="right" vertical="center" wrapText="1"/>
    </xf>
  </cellXfs>
  <cellStyles count="3">
    <cellStyle name="Monétaire" xfId="1" builtinId="4"/>
    <cellStyle name="Normal" xfId="0" builtinId="0"/>
    <cellStyle name="Normal 3" xfId="2" xr:uid="{00000000-0005-0000-0000-000002000000}"/>
  </cellStyles>
  <dxfs count="0"/>
  <tableStyles count="0" defaultTableStyle="TableStyleMedium2" defaultPivotStyle="PivotStyleLight16"/>
  <colors>
    <mruColors>
      <color rgb="FFE5EDE2"/>
      <color rgb="FFF5F1EB"/>
      <color rgb="FF3C9339"/>
      <color rgb="FF94B68A"/>
      <color rgb="FFEAE6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30863</xdr:colOff>
      <xdr:row>0</xdr:row>
      <xdr:rowOff>38100</xdr:rowOff>
    </xdr:from>
    <xdr:to>
      <xdr:col>1</xdr:col>
      <xdr:colOff>726440</xdr:colOff>
      <xdr:row>1</xdr:row>
      <xdr:rowOff>3175</xdr:rowOff>
    </xdr:to>
    <xdr:pic>
      <xdr:nvPicPr>
        <xdr:cNvPr id="3" name="Picture 2" descr="A black background with a black square&#10;&#10;Description automatically generated with medium confidence">
          <a:extLst>
            <a:ext uri="{FF2B5EF4-FFF2-40B4-BE49-F238E27FC236}">
              <a16:creationId xmlns:a16="http://schemas.microsoft.com/office/drawing/2014/main" id="{AE6C230B-8672-50C0-5540-F4A06372E4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863" y="38100"/>
          <a:ext cx="1524252" cy="469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59"/>
  <sheetViews>
    <sheetView showGridLines="0" tabSelected="1" zoomScaleNormal="100" zoomScaleSheetLayoutView="100" workbookViewId="0">
      <selection activeCell="E10" sqref="E10"/>
    </sheetView>
  </sheetViews>
  <sheetFormatPr baseColWidth="10" defaultColWidth="11" defaultRowHeight="15" x14ac:dyDescent="0.25"/>
  <cols>
    <col min="1" max="1" width="12.42578125" customWidth="1"/>
    <col min="2" max="2" width="50.42578125" customWidth="1"/>
    <col min="3" max="4" width="12.42578125" customWidth="1"/>
    <col min="5" max="6" width="17.42578125" customWidth="1"/>
    <col min="7" max="7" width="14.42578125" bestFit="1" customWidth="1"/>
    <col min="8" max="8" width="15.28515625" customWidth="1"/>
    <col min="9" max="9" width="13" bestFit="1" customWidth="1"/>
  </cols>
  <sheetData>
    <row r="1" spans="1:7" ht="39.75" customHeight="1" x14ac:dyDescent="0.25">
      <c r="E1" s="61" t="s">
        <v>25</v>
      </c>
      <c r="F1" s="61"/>
    </row>
    <row r="2" spans="1:7" ht="15" customHeight="1" x14ac:dyDescent="0.25">
      <c r="E2" s="22"/>
      <c r="F2" s="22"/>
    </row>
    <row r="3" spans="1:7" ht="15" customHeight="1" x14ac:dyDescent="0.25">
      <c r="E3" s="22"/>
      <c r="F3" s="22"/>
    </row>
    <row r="4" spans="1:7" ht="30.95" customHeight="1" x14ac:dyDescent="0.25">
      <c r="A4" s="69" t="s">
        <v>16</v>
      </c>
      <c r="B4" s="69"/>
      <c r="C4" s="69"/>
      <c r="D4" s="69"/>
      <c r="E4" s="69"/>
      <c r="F4" s="69"/>
      <c r="G4" s="2"/>
    </row>
    <row r="5" spans="1:7" ht="33.75" x14ac:dyDescent="0.25">
      <c r="A5" s="70" t="s">
        <v>236</v>
      </c>
      <c r="B5" s="70"/>
      <c r="C5" s="70"/>
      <c r="D5" s="70"/>
      <c r="E5" s="70"/>
      <c r="F5" s="70"/>
      <c r="G5" s="2"/>
    </row>
    <row r="6" spans="1:7" ht="36.950000000000003" customHeight="1" x14ac:dyDescent="0.25">
      <c r="A6" s="71" t="s">
        <v>26</v>
      </c>
      <c r="B6" s="72"/>
      <c r="C6" s="72"/>
      <c r="D6" s="72"/>
      <c r="E6" s="72"/>
      <c r="F6" s="72"/>
      <c r="G6" s="2"/>
    </row>
    <row r="7" spans="1:7" ht="23.1" customHeight="1" x14ac:dyDescent="0.25">
      <c r="A7" s="3" t="s">
        <v>5</v>
      </c>
      <c r="B7" s="4" t="s">
        <v>6</v>
      </c>
      <c r="C7" s="4" t="s">
        <v>7</v>
      </c>
      <c r="D7" s="4" t="s">
        <v>8</v>
      </c>
      <c r="E7" s="1" t="s">
        <v>9</v>
      </c>
      <c r="F7" s="4" t="s">
        <v>10</v>
      </c>
      <c r="G7" s="2"/>
    </row>
    <row r="8" spans="1:7" ht="24" customHeight="1" x14ac:dyDescent="0.25">
      <c r="A8" s="19" t="s">
        <v>18</v>
      </c>
      <c r="B8" s="5" t="s">
        <v>27</v>
      </c>
      <c r="C8" s="5"/>
      <c r="D8" s="5"/>
      <c r="E8" s="5"/>
      <c r="F8" s="5"/>
      <c r="G8" s="6"/>
    </row>
    <row r="9" spans="1:7" ht="18" customHeight="1" x14ac:dyDescent="0.25">
      <c r="A9" s="39"/>
      <c r="B9" s="40" t="s">
        <v>185</v>
      </c>
      <c r="C9" s="40"/>
      <c r="D9" s="40"/>
      <c r="E9" s="40"/>
      <c r="F9" s="40"/>
      <c r="G9" s="6"/>
    </row>
    <row r="10" spans="1:7" ht="24" customHeight="1" x14ac:dyDescent="0.25">
      <c r="A10" s="21" t="s">
        <v>19</v>
      </c>
      <c r="B10" s="54" t="s">
        <v>28</v>
      </c>
      <c r="C10" s="11">
        <v>1</v>
      </c>
      <c r="D10" s="12" t="s">
        <v>42</v>
      </c>
      <c r="E10" s="57"/>
      <c r="F10" s="13">
        <f t="shared" ref="F10:F17" si="0">ROUND(C10*E10,2)</f>
        <v>0</v>
      </c>
    </row>
    <row r="11" spans="1:7" ht="24" customHeight="1" x14ac:dyDescent="0.25">
      <c r="A11" s="21" t="s">
        <v>20</v>
      </c>
      <c r="B11" s="54" t="s">
        <v>29</v>
      </c>
      <c r="C11" s="11">
        <v>1</v>
      </c>
      <c r="D11" s="12" t="s">
        <v>42</v>
      </c>
      <c r="E11" s="57"/>
      <c r="F11" s="13">
        <f t="shared" si="0"/>
        <v>0</v>
      </c>
    </row>
    <row r="12" spans="1:7" ht="24" customHeight="1" x14ac:dyDescent="0.25">
      <c r="A12" s="21" t="s">
        <v>31</v>
      </c>
      <c r="B12" s="54" t="s">
        <v>30</v>
      </c>
      <c r="C12" s="11">
        <v>1</v>
      </c>
      <c r="D12" s="12" t="s">
        <v>42</v>
      </c>
      <c r="E12" s="57"/>
      <c r="F12" s="13">
        <f t="shared" si="0"/>
        <v>0</v>
      </c>
    </row>
    <row r="13" spans="1:7" ht="24" customHeight="1" x14ac:dyDescent="0.25">
      <c r="A13" s="21" t="s">
        <v>32</v>
      </c>
      <c r="B13" s="54" t="s">
        <v>34</v>
      </c>
      <c r="C13" s="11">
        <v>1</v>
      </c>
      <c r="D13" s="12" t="s">
        <v>42</v>
      </c>
      <c r="E13" s="57"/>
      <c r="F13" s="13">
        <f t="shared" si="0"/>
        <v>0</v>
      </c>
    </row>
    <row r="14" spans="1:7" ht="24" customHeight="1" x14ac:dyDescent="0.25">
      <c r="A14" s="21" t="s">
        <v>33</v>
      </c>
      <c r="B14" s="54" t="s">
        <v>35</v>
      </c>
      <c r="C14" s="11">
        <v>1</v>
      </c>
      <c r="D14" s="12" t="s">
        <v>42</v>
      </c>
      <c r="E14" s="57"/>
      <c r="F14" s="13">
        <f t="shared" si="0"/>
        <v>0</v>
      </c>
    </row>
    <row r="15" spans="1:7" ht="24" customHeight="1" x14ac:dyDescent="0.25">
      <c r="A15" s="21" t="s">
        <v>37</v>
      </c>
      <c r="B15" s="54" t="s">
        <v>36</v>
      </c>
      <c r="C15" s="11">
        <v>1</v>
      </c>
      <c r="D15" s="12" t="s">
        <v>42</v>
      </c>
      <c r="E15" s="57"/>
      <c r="F15" s="13">
        <f t="shared" si="0"/>
        <v>0</v>
      </c>
    </row>
    <row r="16" spans="1:7" ht="24" customHeight="1" x14ac:dyDescent="0.25">
      <c r="A16" s="21" t="s">
        <v>38</v>
      </c>
      <c r="B16" s="54" t="s">
        <v>39</v>
      </c>
      <c r="C16" s="11">
        <v>1</v>
      </c>
      <c r="D16" s="12" t="s">
        <v>42</v>
      </c>
      <c r="E16" s="57"/>
      <c r="F16" s="13">
        <f t="shared" si="0"/>
        <v>0</v>
      </c>
    </row>
    <row r="17" spans="1:7" ht="24" customHeight="1" x14ac:dyDescent="0.25">
      <c r="A17" s="21" t="s">
        <v>41</v>
      </c>
      <c r="B17" s="54" t="s">
        <v>40</v>
      </c>
      <c r="C17" s="11">
        <v>1</v>
      </c>
      <c r="D17" s="12" t="s">
        <v>42</v>
      </c>
      <c r="E17" s="57"/>
      <c r="F17" s="13">
        <f t="shared" si="0"/>
        <v>0</v>
      </c>
    </row>
    <row r="18" spans="1:7" ht="24" customHeight="1" x14ac:dyDescent="0.25">
      <c r="A18" s="74" t="s">
        <v>11</v>
      </c>
      <c r="B18" s="75"/>
      <c r="C18" s="75"/>
      <c r="D18" s="75"/>
      <c r="E18" s="75"/>
      <c r="F18" s="23">
        <f>ROUND(SUM(F10:F17),2)</f>
        <v>0</v>
      </c>
      <c r="G18" s="2"/>
    </row>
    <row r="19" spans="1:7" ht="24" customHeight="1" x14ac:dyDescent="0.25">
      <c r="A19" s="19" t="s">
        <v>21</v>
      </c>
      <c r="B19" s="77" t="s">
        <v>43</v>
      </c>
      <c r="C19" s="77"/>
      <c r="D19" s="77"/>
      <c r="E19" s="77"/>
      <c r="F19" s="77"/>
      <c r="G19" s="2"/>
    </row>
    <row r="20" spans="1:7" ht="18" customHeight="1" x14ac:dyDescent="0.25">
      <c r="A20" s="39"/>
      <c r="B20" s="41" t="s">
        <v>186</v>
      </c>
      <c r="C20" s="41"/>
      <c r="D20" s="41"/>
      <c r="E20" s="41"/>
      <c r="F20" s="41"/>
      <c r="G20" s="2"/>
    </row>
    <row r="21" spans="1:7" ht="24" customHeight="1" x14ac:dyDescent="0.25">
      <c r="A21" s="20" t="s">
        <v>22</v>
      </c>
      <c r="B21" s="55" t="s">
        <v>241</v>
      </c>
      <c r="C21" s="7">
        <v>1</v>
      </c>
      <c r="D21" s="8" t="s">
        <v>42</v>
      </c>
      <c r="E21" s="58"/>
      <c r="F21" s="9">
        <f>ROUND(C21*E21,2)</f>
        <v>0</v>
      </c>
    </row>
    <row r="22" spans="1:7" ht="24" customHeight="1" x14ac:dyDescent="0.25">
      <c r="A22" s="21" t="s">
        <v>23</v>
      </c>
      <c r="B22" s="54" t="s">
        <v>54</v>
      </c>
      <c r="C22" s="11">
        <v>1</v>
      </c>
      <c r="D22" s="12" t="s">
        <v>42</v>
      </c>
      <c r="E22" s="57"/>
      <c r="F22" s="13">
        <f>ROUND(C22*E22,2)</f>
        <v>0</v>
      </c>
    </row>
    <row r="23" spans="1:7" ht="24" customHeight="1" x14ac:dyDescent="0.25">
      <c r="A23" s="21" t="s">
        <v>24</v>
      </c>
      <c r="B23" s="54" t="s">
        <v>55</v>
      </c>
      <c r="C23" s="11">
        <v>1</v>
      </c>
      <c r="D23" s="12" t="s">
        <v>42</v>
      </c>
      <c r="E23" s="57"/>
      <c r="F23" s="13">
        <f t="shared" ref="F23:F27" si="1">ROUND(C23*E23,2)</f>
        <v>0</v>
      </c>
    </row>
    <row r="24" spans="1:7" ht="24" customHeight="1" x14ac:dyDescent="0.25">
      <c r="A24" s="21" t="s">
        <v>44</v>
      </c>
      <c r="B24" s="54" t="s">
        <v>56</v>
      </c>
      <c r="C24" s="11">
        <v>1</v>
      </c>
      <c r="D24" s="12" t="s">
        <v>42</v>
      </c>
      <c r="E24" s="57"/>
      <c r="F24" s="13">
        <f t="shared" si="1"/>
        <v>0</v>
      </c>
    </row>
    <row r="25" spans="1:7" ht="24" customHeight="1" x14ac:dyDescent="0.25">
      <c r="A25" s="21" t="s">
        <v>45</v>
      </c>
      <c r="B25" s="54" t="s">
        <v>57</v>
      </c>
      <c r="C25" s="11">
        <v>1</v>
      </c>
      <c r="D25" s="12" t="s">
        <v>42</v>
      </c>
      <c r="E25" s="57"/>
      <c r="F25" s="13">
        <f t="shared" si="1"/>
        <v>0</v>
      </c>
    </row>
    <row r="26" spans="1:7" ht="24" customHeight="1" x14ac:dyDescent="0.25">
      <c r="A26" s="21" t="s">
        <v>46</v>
      </c>
      <c r="B26" s="54" t="s">
        <v>58</v>
      </c>
      <c r="C26" s="11">
        <v>1</v>
      </c>
      <c r="D26" s="12" t="s">
        <v>42</v>
      </c>
      <c r="E26" s="57"/>
      <c r="F26" s="13">
        <f t="shared" si="1"/>
        <v>0</v>
      </c>
    </row>
    <row r="27" spans="1:7" ht="24" customHeight="1" x14ac:dyDescent="0.25">
      <c r="A27" s="21" t="s">
        <v>47</v>
      </c>
      <c r="B27" s="54" t="s">
        <v>59</v>
      </c>
      <c r="C27" s="11">
        <v>1</v>
      </c>
      <c r="D27" s="12" t="s">
        <v>42</v>
      </c>
      <c r="E27" s="57"/>
      <c r="F27" s="13">
        <f t="shared" si="1"/>
        <v>0</v>
      </c>
    </row>
    <row r="28" spans="1:7" ht="18" customHeight="1" x14ac:dyDescent="0.25">
      <c r="A28" s="42"/>
      <c r="B28" s="46" t="s">
        <v>187</v>
      </c>
      <c r="C28" s="43"/>
      <c r="D28" s="44"/>
      <c r="E28" s="45"/>
      <c r="F28" s="45"/>
    </row>
    <row r="29" spans="1:7" ht="24" customHeight="1" x14ac:dyDescent="0.25">
      <c r="A29" s="21" t="s">
        <v>48</v>
      </c>
      <c r="B29" s="54" t="s">
        <v>60</v>
      </c>
      <c r="C29" s="11">
        <v>1</v>
      </c>
      <c r="D29" s="12" t="s">
        <v>42</v>
      </c>
      <c r="E29" s="57"/>
      <c r="F29" s="13">
        <f t="shared" ref="F29:F44" si="2">ROUND(C29*E29,2)</f>
        <v>0</v>
      </c>
    </row>
    <row r="30" spans="1:7" ht="24" customHeight="1" x14ac:dyDescent="0.25">
      <c r="A30" s="21" t="s">
        <v>49</v>
      </c>
      <c r="B30" s="54" t="s">
        <v>61</v>
      </c>
      <c r="C30" s="11">
        <v>1</v>
      </c>
      <c r="D30" s="12" t="s">
        <v>42</v>
      </c>
      <c r="E30" s="57"/>
      <c r="F30" s="13">
        <f t="shared" si="2"/>
        <v>0</v>
      </c>
    </row>
    <row r="31" spans="1:7" ht="24" customHeight="1" x14ac:dyDescent="0.25">
      <c r="A31" s="21" t="s">
        <v>50</v>
      </c>
      <c r="B31" s="54" t="s">
        <v>62</v>
      </c>
      <c r="C31" s="11">
        <v>1</v>
      </c>
      <c r="D31" s="12" t="s">
        <v>42</v>
      </c>
      <c r="E31" s="57"/>
      <c r="F31" s="13">
        <f t="shared" si="2"/>
        <v>0</v>
      </c>
    </row>
    <row r="32" spans="1:7" ht="24" customHeight="1" x14ac:dyDescent="0.25">
      <c r="A32" s="21" t="s">
        <v>51</v>
      </c>
      <c r="B32" s="54" t="s">
        <v>63</v>
      </c>
      <c r="C32" s="11">
        <v>1</v>
      </c>
      <c r="D32" s="12" t="s">
        <v>42</v>
      </c>
      <c r="E32" s="57"/>
      <c r="F32" s="13">
        <f t="shared" si="2"/>
        <v>0</v>
      </c>
    </row>
    <row r="33" spans="1:6" ht="18" customHeight="1" x14ac:dyDescent="0.25">
      <c r="A33" s="42"/>
      <c r="B33" s="46" t="s">
        <v>188</v>
      </c>
      <c r="C33" s="43"/>
      <c r="D33" s="44"/>
      <c r="E33" s="45"/>
      <c r="F33" s="45"/>
    </row>
    <row r="34" spans="1:6" ht="24" customHeight="1" x14ac:dyDescent="0.25">
      <c r="A34" s="21" t="s">
        <v>52</v>
      </c>
      <c r="B34" s="54" t="s">
        <v>73</v>
      </c>
      <c r="C34" s="11">
        <v>1</v>
      </c>
      <c r="D34" s="12" t="s">
        <v>42</v>
      </c>
      <c r="E34" s="57"/>
      <c r="F34" s="13">
        <f t="shared" si="2"/>
        <v>0</v>
      </c>
    </row>
    <row r="35" spans="1:6" ht="24" customHeight="1" x14ac:dyDescent="0.25">
      <c r="A35" s="21" t="s">
        <v>53</v>
      </c>
      <c r="B35" s="54" t="s">
        <v>74</v>
      </c>
      <c r="C35" s="11">
        <v>1</v>
      </c>
      <c r="D35" s="12" t="s">
        <v>42</v>
      </c>
      <c r="E35" s="57"/>
      <c r="F35" s="13">
        <f t="shared" si="2"/>
        <v>0</v>
      </c>
    </row>
    <row r="36" spans="1:6" ht="24" customHeight="1" x14ac:dyDescent="0.25">
      <c r="A36" s="21" t="s">
        <v>64</v>
      </c>
      <c r="B36" s="54" t="s">
        <v>242</v>
      </c>
      <c r="C36" s="11">
        <v>1</v>
      </c>
      <c r="D36" s="12" t="s">
        <v>42</v>
      </c>
      <c r="E36" s="57"/>
      <c r="F36" s="13">
        <f t="shared" si="2"/>
        <v>0</v>
      </c>
    </row>
    <row r="37" spans="1:6" ht="24" customHeight="1" x14ac:dyDescent="0.25">
      <c r="A37" s="21" t="s">
        <v>65</v>
      </c>
      <c r="B37" s="54" t="s">
        <v>243</v>
      </c>
      <c r="C37" s="11">
        <v>1</v>
      </c>
      <c r="D37" s="12" t="s">
        <v>42</v>
      </c>
      <c r="E37" s="57"/>
      <c r="F37" s="13">
        <f t="shared" si="2"/>
        <v>0</v>
      </c>
    </row>
    <row r="38" spans="1:6" ht="24" customHeight="1" x14ac:dyDescent="0.25">
      <c r="A38" s="21" t="s">
        <v>66</v>
      </c>
      <c r="B38" s="54" t="s">
        <v>75</v>
      </c>
      <c r="C38" s="11">
        <v>1</v>
      </c>
      <c r="D38" s="12" t="s">
        <v>42</v>
      </c>
      <c r="E38" s="57"/>
      <c r="F38" s="13">
        <f t="shared" si="2"/>
        <v>0</v>
      </c>
    </row>
    <row r="39" spans="1:6" ht="24" customHeight="1" x14ac:dyDescent="0.25">
      <c r="A39" s="21" t="s">
        <v>67</v>
      </c>
      <c r="B39" s="54" t="s">
        <v>245</v>
      </c>
      <c r="C39" s="11">
        <v>1</v>
      </c>
      <c r="D39" s="12" t="s">
        <v>42</v>
      </c>
      <c r="E39" s="57"/>
      <c r="F39" s="13">
        <f t="shared" si="2"/>
        <v>0</v>
      </c>
    </row>
    <row r="40" spans="1:6" ht="24" customHeight="1" x14ac:dyDescent="0.25">
      <c r="A40" s="21" t="s">
        <v>68</v>
      </c>
      <c r="B40" s="54" t="s">
        <v>244</v>
      </c>
      <c r="C40" s="11">
        <v>1</v>
      </c>
      <c r="D40" s="12" t="s">
        <v>42</v>
      </c>
      <c r="E40" s="57"/>
      <c r="F40" s="13">
        <f t="shared" si="2"/>
        <v>0</v>
      </c>
    </row>
    <row r="41" spans="1:6" ht="24" customHeight="1" x14ac:dyDescent="0.25">
      <c r="A41" s="21" t="s">
        <v>69</v>
      </c>
      <c r="B41" s="54" t="s">
        <v>76</v>
      </c>
      <c r="C41" s="11">
        <v>1</v>
      </c>
      <c r="D41" s="12" t="s">
        <v>42</v>
      </c>
      <c r="E41" s="57"/>
      <c r="F41" s="13">
        <f t="shared" si="2"/>
        <v>0</v>
      </c>
    </row>
    <row r="42" spans="1:6" ht="24" customHeight="1" x14ac:dyDescent="0.25">
      <c r="A42" s="21" t="s">
        <v>70</v>
      </c>
      <c r="B42" s="54" t="s">
        <v>246</v>
      </c>
      <c r="C42" s="11">
        <v>1</v>
      </c>
      <c r="D42" s="12" t="s">
        <v>42</v>
      </c>
      <c r="E42" s="57"/>
      <c r="F42" s="13">
        <f t="shared" si="2"/>
        <v>0</v>
      </c>
    </row>
    <row r="43" spans="1:6" ht="24" customHeight="1" x14ac:dyDescent="0.25">
      <c r="A43" s="21" t="s">
        <v>71</v>
      </c>
      <c r="B43" s="54" t="s">
        <v>247</v>
      </c>
      <c r="C43" s="11">
        <v>1</v>
      </c>
      <c r="D43" s="12" t="s">
        <v>42</v>
      </c>
      <c r="E43" s="57"/>
      <c r="F43" s="13">
        <f t="shared" si="2"/>
        <v>0</v>
      </c>
    </row>
    <row r="44" spans="1:6" ht="24" customHeight="1" x14ac:dyDescent="0.25">
      <c r="A44" s="21" t="s">
        <v>72</v>
      </c>
      <c r="B44" s="54" t="s">
        <v>77</v>
      </c>
      <c r="C44" s="11">
        <v>1</v>
      </c>
      <c r="D44" s="12" t="s">
        <v>42</v>
      </c>
      <c r="E44" s="57"/>
      <c r="F44" s="13">
        <f t="shared" si="2"/>
        <v>0</v>
      </c>
    </row>
    <row r="45" spans="1:6" ht="24" customHeight="1" x14ac:dyDescent="0.25">
      <c r="A45" s="66" t="s">
        <v>12</v>
      </c>
      <c r="B45" s="66"/>
      <c r="C45" s="66"/>
      <c r="D45" s="66"/>
      <c r="E45" s="66"/>
      <c r="F45" s="32">
        <f>SUM(F21:F44)</f>
        <v>0</v>
      </c>
    </row>
    <row r="46" spans="1:6" ht="24" customHeight="1" x14ac:dyDescent="0.25">
      <c r="A46" s="30" t="s">
        <v>78</v>
      </c>
      <c r="B46" s="26" t="s">
        <v>79</v>
      </c>
      <c r="C46" s="27"/>
      <c r="D46" s="28"/>
      <c r="E46" s="29"/>
      <c r="F46" s="29"/>
    </row>
    <row r="47" spans="1:6" ht="18" customHeight="1" x14ac:dyDescent="0.25">
      <c r="A47" s="47"/>
      <c r="B47" s="46" t="s">
        <v>189</v>
      </c>
      <c r="C47" s="43"/>
      <c r="D47" s="44"/>
      <c r="E47" s="45"/>
      <c r="F47" s="45"/>
    </row>
    <row r="48" spans="1:6" ht="24" customHeight="1" x14ac:dyDescent="0.25">
      <c r="A48" s="21" t="s">
        <v>80</v>
      </c>
      <c r="B48" s="54" t="s">
        <v>197</v>
      </c>
      <c r="C48" s="11">
        <v>1</v>
      </c>
      <c r="D48" s="12" t="s">
        <v>42</v>
      </c>
      <c r="E48" s="59"/>
      <c r="F48" s="13">
        <f t="shared" ref="F48:F94" si="3">ROUND(C48*E48,2)</f>
        <v>0</v>
      </c>
    </row>
    <row r="49" spans="1:6" ht="24" customHeight="1" x14ac:dyDescent="0.25">
      <c r="A49" s="21" t="s">
        <v>81</v>
      </c>
      <c r="B49" s="54" t="s">
        <v>248</v>
      </c>
      <c r="C49" s="11">
        <v>1</v>
      </c>
      <c r="D49" s="12" t="s">
        <v>42</v>
      </c>
      <c r="E49" s="57"/>
      <c r="F49" s="13">
        <f t="shared" si="3"/>
        <v>0</v>
      </c>
    </row>
    <row r="50" spans="1:6" ht="24" customHeight="1" x14ac:dyDescent="0.25">
      <c r="A50" s="21" t="s">
        <v>82</v>
      </c>
      <c r="B50" s="54" t="s">
        <v>97</v>
      </c>
      <c r="C50" s="11">
        <v>1</v>
      </c>
      <c r="D50" s="12" t="s">
        <v>42</v>
      </c>
      <c r="E50" s="57"/>
      <c r="F50" s="13">
        <f t="shared" si="3"/>
        <v>0</v>
      </c>
    </row>
    <row r="51" spans="1:6" ht="24" customHeight="1" x14ac:dyDescent="0.25">
      <c r="A51" s="21" t="s">
        <v>83</v>
      </c>
      <c r="B51" s="54" t="s">
        <v>98</v>
      </c>
      <c r="C51" s="11">
        <v>1</v>
      </c>
      <c r="D51" s="12" t="s">
        <v>42</v>
      </c>
      <c r="E51" s="57"/>
      <c r="F51" s="13">
        <f t="shared" si="3"/>
        <v>0</v>
      </c>
    </row>
    <row r="52" spans="1:6" ht="24" customHeight="1" x14ac:dyDescent="0.25">
      <c r="A52" s="21" t="s">
        <v>84</v>
      </c>
      <c r="B52" s="54" t="s">
        <v>99</v>
      </c>
      <c r="C52" s="11">
        <v>1</v>
      </c>
      <c r="D52" s="12" t="s">
        <v>42</v>
      </c>
      <c r="E52" s="57"/>
      <c r="F52" s="13">
        <f t="shared" si="3"/>
        <v>0</v>
      </c>
    </row>
    <row r="53" spans="1:6" ht="24" customHeight="1" x14ac:dyDescent="0.25">
      <c r="A53" s="21" t="s">
        <v>85</v>
      </c>
      <c r="B53" s="54" t="s">
        <v>100</v>
      </c>
      <c r="C53" s="11">
        <v>1</v>
      </c>
      <c r="D53" s="12" t="s">
        <v>42</v>
      </c>
      <c r="E53" s="57"/>
      <c r="F53" s="13">
        <f t="shared" si="3"/>
        <v>0</v>
      </c>
    </row>
    <row r="54" spans="1:6" ht="24" customHeight="1" x14ac:dyDescent="0.25">
      <c r="A54" s="21" t="s">
        <v>86</v>
      </c>
      <c r="B54" s="54" t="s">
        <v>101</v>
      </c>
      <c r="C54" s="11">
        <v>1</v>
      </c>
      <c r="D54" s="12" t="s">
        <v>42</v>
      </c>
      <c r="E54" s="57"/>
      <c r="F54" s="13">
        <f t="shared" si="3"/>
        <v>0</v>
      </c>
    </row>
    <row r="55" spans="1:6" ht="18" customHeight="1" x14ac:dyDescent="0.25">
      <c r="A55" s="42"/>
      <c r="B55" s="46" t="s">
        <v>190</v>
      </c>
      <c r="C55" s="43"/>
      <c r="D55" s="44"/>
      <c r="E55" s="45"/>
      <c r="F55" s="45"/>
    </row>
    <row r="56" spans="1:6" ht="24" customHeight="1" x14ac:dyDescent="0.25">
      <c r="A56" s="21" t="s">
        <v>87</v>
      </c>
      <c r="B56" s="54" t="s">
        <v>198</v>
      </c>
      <c r="C56" s="11">
        <v>1</v>
      </c>
      <c r="D56" s="12" t="s">
        <v>42</v>
      </c>
      <c r="E56" s="59"/>
      <c r="F56" s="13">
        <f t="shared" si="3"/>
        <v>0</v>
      </c>
    </row>
    <row r="57" spans="1:6" ht="24" customHeight="1" x14ac:dyDescent="0.25">
      <c r="A57" s="21" t="s">
        <v>88</v>
      </c>
      <c r="B57" s="54" t="s">
        <v>102</v>
      </c>
      <c r="C57" s="11">
        <v>1</v>
      </c>
      <c r="D57" s="12" t="s">
        <v>42</v>
      </c>
      <c r="E57" s="57"/>
      <c r="F57" s="13">
        <f t="shared" si="3"/>
        <v>0</v>
      </c>
    </row>
    <row r="58" spans="1:6" ht="24" customHeight="1" x14ac:dyDescent="0.25">
      <c r="A58" s="21" t="s">
        <v>89</v>
      </c>
      <c r="B58" s="54" t="s">
        <v>103</v>
      </c>
      <c r="C58" s="11">
        <v>1</v>
      </c>
      <c r="D58" s="12" t="s">
        <v>42</v>
      </c>
      <c r="E58" s="57"/>
      <c r="F58" s="13">
        <f t="shared" si="3"/>
        <v>0</v>
      </c>
    </row>
    <row r="59" spans="1:6" ht="24" customHeight="1" x14ac:dyDescent="0.25">
      <c r="A59" s="21" t="s">
        <v>90</v>
      </c>
      <c r="B59" s="54" t="s">
        <v>104</v>
      </c>
      <c r="C59" s="11">
        <v>1</v>
      </c>
      <c r="D59" s="12" t="s">
        <v>42</v>
      </c>
      <c r="E59" s="57"/>
      <c r="F59" s="13">
        <f t="shared" si="3"/>
        <v>0</v>
      </c>
    </row>
    <row r="60" spans="1:6" ht="24" customHeight="1" x14ac:dyDescent="0.25">
      <c r="A60" s="21" t="s">
        <v>91</v>
      </c>
      <c r="B60" s="54" t="s">
        <v>105</v>
      </c>
      <c r="C60" s="11">
        <v>1</v>
      </c>
      <c r="D60" s="12" t="s">
        <v>42</v>
      </c>
      <c r="E60" s="57"/>
      <c r="F60" s="13">
        <f t="shared" si="3"/>
        <v>0</v>
      </c>
    </row>
    <row r="61" spans="1:6" ht="24" customHeight="1" x14ac:dyDescent="0.25">
      <c r="A61" s="21" t="s">
        <v>92</v>
      </c>
      <c r="B61" s="54" t="s">
        <v>106</v>
      </c>
      <c r="C61" s="11">
        <v>1</v>
      </c>
      <c r="D61" s="12" t="s">
        <v>42</v>
      </c>
      <c r="E61" s="57"/>
      <c r="F61" s="13">
        <f t="shared" si="3"/>
        <v>0</v>
      </c>
    </row>
    <row r="62" spans="1:6" ht="24" customHeight="1" x14ac:dyDescent="0.25">
      <c r="A62" s="21" t="s">
        <v>93</v>
      </c>
      <c r="B62" s="54" t="s">
        <v>107</v>
      </c>
      <c r="C62" s="11">
        <v>1</v>
      </c>
      <c r="D62" s="12" t="s">
        <v>42</v>
      </c>
      <c r="E62" s="57"/>
      <c r="F62" s="13">
        <f t="shared" si="3"/>
        <v>0</v>
      </c>
    </row>
    <row r="63" spans="1:6" ht="24" customHeight="1" x14ac:dyDescent="0.25">
      <c r="A63" s="21" t="s">
        <v>94</v>
      </c>
      <c r="B63" s="54" t="s">
        <v>108</v>
      </c>
      <c r="C63" s="11">
        <v>1</v>
      </c>
      <c r="D63" s="12" t="s">
        <v>42</v>
      </c>
      <c r="E63" s="57"/>
      <c r="F63" s="13">
        <f t="shared" si="3"/>
        <v>0</v>
      </c>
    </row>
    <row r="64" spans="1:6" ht="18" customHeight="1" x14ac:dyDescent="0.25">
      <c r="A64" s="42"/>
      <c r="B64" s="46" t="s">
        <v>191</v>
      </c>
      <c r="C64" s="43"/>
      <c r="D64" s="44"/>
      <c r="E64" s="45"/>
      <c r="F64" s="45"/>
    </row>
    <row r="65" spans="1:6" ht="24" customHeight="1" x14ac:dyDescent="0.25">
      <c r="A65" s="21" t="s">
        <v>95</v>
      </c>
      <c r="B65" s="54" t="s">
        <v>109</v>
      </c>
      <c r="C65" s="11">
        <v>1</v>
      </c>
      <c r="D65" s="12" t="s">
        <v>42</v>
      </c>
      <c r="E65" s="57"/>
      <c r="F65" s="13">
        <f t="shared" si="3"/>
        <v>0</v>
      </c>
    </row>
    <row r="66" spans="1:6" ht="24" customHeight="1" x14ac:dyDescent="0.25">
      <c r="A66" s="21" t="s">
        <v>96</v>
      </c>
      <c r="B66" s="54" t="s">
        <v>199</v>
      </c>
      <c r="C66" s="11">
        <v>1</v>
      </c>
      <c r="D66" s="12" t="s">
        <v>42</v>
      </c>
      <c r="E66" s="57"/>
      <c r="F66" s="13">
        <f t="shared" si="3"/>
        <v>0</v>
      </c>
    </row>
    <row r="67" spans="1:6" ht="24" customHeight="1" x14ac:dyDescent="0.25">
      <c r="A67" s="21" t="s">
        <v>110</v>
      </c>
      <c r="B67" s="54" t="s">
        <v>112</v>
      </c>
      <c r="C67" s="11">
        <v>1</v>
      </c>
      <c r="D67" s="12" t="s">
        <v>42</v>
      </c>
      <c r="E67" s="57"/>
      <c r="F67" s="13">
        <f t="shared" si="3"/>
        <v>0</v>
      </c>
    </row>
    <row r="68" spans="1:6" ht="24" customHeight="1" x14ac:dyDescent="0.25">
      <c r="A68" s="21" t="s">
        <v>111</v>
      </c>
      <c r="B68" s="54" t="s">
        <v>113</v>
      </c>
      <c r="C68" s="11">
        <v>1</v>
      </c>
      <c r="D68" s="12" t="s">
        <v>42</v>
      </c>
      <c r="E68" s="57"/>
      <c r="F68" s="13">
        <f t="shared" si="3"/>
        <v>0</v>
      </c>
    </row>
    <row r="69" spans="1:6" ht="18" customHeight="1" x14ac:dyDescent="0.25">
      <c r="A69" s="42"/>
      <c r="B69" s="46" t="s">
        <v>192</v>
      </c>
      <c r="C69" s="43"/>
      <c r="D69" s="44"/>
      <c r="E69" s="45"/>
      <c r="F69" s="45"/>
    </row>
    <row r="70" spans="1:6" ht="24" customHeight="1" x14ac:dyDescent="0.25">
      <c r="A70" s="21" t="s">
        <v>200</v>
      </c>
      <c r="B70" s="54" t="s">
        <v>198</v>
      </c>
      <c r="C70" s="11">
        <v>1</v>
      </c>
      <c r="D70" s="12" t="s">
        <v>42</v>
      </c>
      <c r="E70" s="59"/>
      <c r="F70" s="13">
        <f>ROUND(C70*E70,2)</f>
        <v>0</v>
      </c>
    </row>
    <row r="71" spans="1:6" ht="24" customHeight="1" x14ac:dyDescent="0.25">
      <c r="A71" s="21" t="s">
        <v>203</v>
      </c>
      <c r="B71" s="54" t="s">
        <v>114</v>
      </c>
      <c r="C71" s="11">
        <v>1</v>
      </c>
      <c r="D71" s="12" t="s">
        <v>42</v>
      </c>
      <c r="E71" s="57"/>
      <c r="F71" s="13">
        <f t="shared" si="3"/>
        <v>0</v>
      </c>
    </row>
    <row r="72" spans="1:6" ht="18" customHeight="1" x14ac:dyDescent="0.25">
      <c r="A72" s="42"/>
      <c r="B72" s="46" t="s">
        <v>193</v>
      </c>
      <c r="C72" s="43"/>
      <c r="D72" s="44"/>
      <c r="E72" s="45"/>
      <c r="F72" s="45"/>
    </row>
    <row r="73" spans="1:6" ht="24" customHeight="1" x14ac:dyDescent="0.25">
      <c r="A73" s="50"/>
      <c r="B73" s="51" t="s">
        <v>198</v>
      </c>
      <c r="C73" s="52"/>
      <c r="D73" s="53"/>
      <c r="E73" s="49"/>
      <c r="F73" s="49"/>
    </row>
    <row r="74" spans="1:6" ht="24" customHeight="1" x14ac:dyDescent="0.25">
      <c r="A74" s="21" t="s">
        <v>206</v>
      </c>
      <c r="B74" s="54" t="s">
        <v>201</v>
      </c>
      <c r="C74" s="11">
        <v>1</v>
      </c>
      <c r="D74" s="12" t="s">
        <v>42</v>
      </c>
      <c r="E74" s="57"/>
      <c r="F74" s="13">
        <f t="shared" si="3"/>
        <v>0</v>
      </c>
    </row>
    <row r="75" spans="1:6" ht="24" customHeight="1" x14ac:dyDescent="0.25">
      <c r="A75" s="50"/>
      <c r="B75" s="51" t="s">
        <v>202</v>
      </c>
      <c r="C75" s="52"/>
      <c r="D75" s="53"/>
      <c r="E75" s="49"/>
      <c r="F75" s="49"/>
    </row>
    <row r="76" spans="1:6" ht="24" customHeight="1" x14ac:dyDescent="0.25">
      <c r="A76" s="21" t="s">
        <v>207</v>
      </c>
      <c r="B76" s="54" t="s">
        <v>204</v>
      </c>
      <c r="C76" s="11">
        <v>1</v>
      </c>
      <c r="D76" s="12" t="s">
        <v>42</v>
      </c>
      <c r="E76" s="57"/>
      <c r="F76" s="13">
        <f t="shared" si="3"/>
        <v>0</v>
      </c>
    </row>
    <row r="77" spans="1:6" ht="24" customHeight="1" x14ac:dyDescent="0.25">
      <c r="A77" s="50"/>
      <c r="B77" s="51" t="s">
        <v>205</v>
      </c>
      <c r="C77" s="52"/>
      <c r="D77" s="53"/>
      <c r="E77" s="49"/>
      <c r="F77" s="49"/>
    </row>
    <row r="78" spans="1:6" ht="24" customHeight="1" x14ac:dyDescent="0.25">
      <c r="A78" s="21" t="s">
        <v>208</v>
      </c>
      <c r="B78" s="54" t="s">
        <v>211</v>
      </c>
      <c r="C78" s="11">
        <v>1</v>
      </c>
      <c r="D78" s="12" t="s">
        <v>42</v>
      </c>
      <c r="E78" s="57"/>
      <c r="F78" s="13">
        <f t="shared" si="3"/>
        <v>0</v>
      </c>
    </row>
    <row r="79" spans="1:6" ht="24" customHeight="1" x14ac:dyDescent="0.25">
      <c r="A79" s="21" t="s">
        <v>209</v>
      </c>
      <c r="B79" s="54" t="s">
        <v>212</v>
      </c>
      <c r="C79" s="11">
        <v>1</v>
      </c>
      <c r="D79" s="12" t="s">
        <v>42</v>
      </c>
      <c r="E79" s="57"/>
      <c r="F79" s="13">
        <f t="shared" si="3"/>
        <v>0</v>
      </c>
    </row>
    <row r="80" spans="1:6" ht="24" customHeight="1" x14ac:dyDescent="0.25">
      <c r="A80" s="21" t="s">
        <v>210</v>
      </c>
      <c r="B80" s="54" t="s">
        <v>213</v>
      </c>
      <c r="C80" s="11">
        <v>1</v>
      </c>
      <c r="D80" s="12" t="s">
        <v>42</v>
      </c>
      <c r="E80" s="57"/>
      <c r="F80" s="13">
        <f t="shared" si="3"/>
        <v>0</v>
      </c>
    </row>
    <row r="81" spans="1:6" ht="24" customHeight="1" x14ac:dyDescent="0.25">
      <c r="A81" s="21" t="s">
        <v>216</v>
      </c>
      <c r="B81" s="54" t="s">
        <v>214</v>
      </c>
      <c r="C81" s="11">
        <v>1</v>
      </c>
      <c r="D81" s="12" t="s">
        <v>42</v>
      </c>
      <c r="E81" s="57"/>
      <c r="F81" s="13">
        <f t="shared" si="3"/>
        <v>0</v>
      </c>
    </row>
    <row r="82" spans="1:6" ht="24" customHeight="1" x14ac:dyDescent="0.25">
      <c r="A82" s="21" t="s">
        <v>217</v>
      </c>
      <c r="B82" s="54" t="s">
        <v>215</v>
      </c>
      <c r="C82" s="11">
        <v>1</v>
      </c>
      <c r="D82" s="12" t="s">
        <v>42</v>
      </c>
      <c r="E82" s="57"/>
      <c r="F82" s="13">
        <f t="shared" si="3"/>
        <v>0</v>
      </c>
    </row>
    <row r="83" spans="1:6" ht="24" customHeight="1" x14ac:dyDescent="0.25">
      <c r="A83" s="21" t="s">
        <v>218</v>
      </c>
      <c r="B83" s="54" t="s">
        <v>249</v>
      </c>
      <c r="C83" s="11">
        <v>1</v>
      </c>
      <c r="D83" s="12" t="s">
        <v>42</v>
      </c>
      <c r="E83" s="57"/>
      <c r="F83" s="13">
        <f t="shared" si="3"/>
        <v>0</v>
      </c>
    </row>
    <row r="84" spans="1:6" ht="24" customHeight="1" x14ac:dyDescent="0.25">
      <c r="A84" s="21" t="s">
        <v>219</v>
      </c>
      <c r="B84" s="54" t="s">
        <v>223</v>
      </c>
      <c r="C84" s="11">
        <v>1</v>
      </c>
      <c r="D84" s="12" t="s">
        <v>42</v>
      </c>
      <c r="E84" s="57"/>
      <c r="F84" s="13">
        <f t="shared" si="3"/>
        <v>0</v>
      </c>
    </row>
    <row r="85" spans="1:6" ht="24" customHeight="1" x14ac:dyDescent="0.25">
      <c r="A85" s="21" t="s">
        <v>220</v>
      </c>
      <c r="B85" s="54" t="s">
        <v>224</v>
      </c>
      <c r="C85" s="11">
        <v>1</v>
      </c>
      <c r="D85" s="12" t="s">
        <v>42</v>
      </c>
      <c r="E85" s="57"/>
      <c r="F85" s="13">
        <f t="shared" si="3"/>
        <v>0</v>
      </c>
    </row>
    <row r="86" spans="1:6" ht="24" customHeight="1" x14ac:dyDescent="0.25">
      <c r="A86" s="21" t="s">
        <v>221</v>
      </c>
      <c r="B86" s="54" t="s">
        <v>225</v>
      </c>
      <c r="C86" s="11">
        <v>1</v>
      </c>
      <c r="D86" s="12" t="s">
        <v>42</v>
      </c>
      <c r="E86" s="57"/>
      <c r="F86" s="13">
        <f t="shared" si="3"/>
        <v>0</v>
      </c>
    </row>
    <row r="87" spans="1:6" ht="24" customHeight="1" x14ac:dyDescent="0.25">
      <c r="A87" s="21" t="s">
        <v>222</v>
      </c>
      <c r="B87" s="54" t="s">
        <v>250</v>
      </c>
      <c r="C87" s="11">
        <v>1</v>
      </c>
      <c r="D87" s="12" t="s">
        <v>42</v>
      </c>
      <c r="E87" s="57"/>
      <c r="F87" s="13">
        <f t="shared" si="3"/>
        <v>0</v>
      </c>
    </row>
    <row r="88" spans="1:6" ht="24" customHeight="1" x14ac:dyDescent="0.25">
      <c r="A88" s="21" t="s">
        <v>227</v>
      </c>
      <c r="B88" s="54" t="s">
        <v>226</v>
      </c>
      <c r="C88" s="11">
        <v>1</v>
      </c>
      <c r="D88" s="12" t="s">
        <v>42</v>
      </c>
      <c r="E88" s="57"/>
      <c r="F88" s="13">
        <f t="shared" si="3"/>
        <v>0</v>
      </c>
    </row>
    <row r="89" spans="1:6" ht="24" customHeight="1" x14ac:dyDescent="0.25">
      <c r="A89" s="50"/>
      <c r="B89" s="51" t="s">
        <v>229</v>
      </c>
      <c r="C89" s="52"/>
      <c r="D89" s="53"/>
      <c r="E89" s="49"/>
      <c r="F89" s="49"/>
    </row>
    <row r="90" spans="1:6" ht="24" customHeight="1" x14ac:dyDescent="0.25">
      <c r="A90" s="21" t="s">
        <v>228</v>
      </c>
      <c r="B90" s="54" t="s">
        <v>230</v>
      </c>
      <c r="C90" s="11">
        <v>1</v>
      </c>
      <c r="D90" s="12" t="s">
        <v>42</v>
      </c>
      <c r="E90" s="57"/>
      <c r="F90" s="13">
        <f t="shared" si="3"/>
        <v>0</v>
      </c>
    </row>
    <row r="91" spans="1:6" ht="24" customHeight="1" x14ac:dyDescent="0.25">
      <c r="A91" s="50"/>
      <c r="B91" s="51" t="s">
        <v>231</v>
      </c>
      <c r="C91" s="52"/>
      <c r="D91" s="53"/>
      <c r="E91" s="49"/>
      <c r="F91" s="49"/>
    </row>
    <row r="92" spans="1:6" ht="24" customHeight="1" x14ac:dyDescent="0.25">
      <c r="A92" s="21" t="s">
        <v>234</v>
      </c>
      <c r="B92" s="54" t="s">
        <v>232</v>
      </c>
      <c r="C92" s="11">
        <v>1</v>
      </c>
      <c r="D92" s="12" t="s">
        <v>42</v>
      </c>
      <c r="E92" s="57"/>
      <c r="F92" s="13">
        <f t="shared" si="3"/>
        <v>0</v>
      </c>
    </row>
    <row r="93" spans="1:6" ht="24" customHeight="1" x14ac:dyDescent="0.25">
      <c r="A93" s="21" t="s">
        <v>238</v>
      </c>
      <c r="B93" s="54" t="s">
        <v>233</v>
      </c>
      <c r="C93" s="11">
        <v>1</v>
      </c>
      <c r="D93" s="12" t="s">
        <v>42</v>
      </c>
      <c r="E93" s="57"/>
      <c r="F93" s="13">
        <f t="shared" si="3"/>
        <v>0</v>
      </c>
    </row>
    <row r="94" spans="1:6" ht="24" customHeight="1" x14ac:dyDescent="0.25">
      <c r="A94" s="21" t="s">
        <v>239</v>
      </c>
      <c r="B94" s="54" t="s">
        <v>235</v>
      </c>
      <c r="C94" s="11">
        <v>1</v>
      </c>
      <c r="D94" s="12" t="s">
        <v>42</v>
      </c>
      <c r="E94" s="57"/>
      <c r="F94" s="13">
        <f t="shared" si="3"/>
        <v>0</v>
      </c>
    </row>
    <row r="95" spans="1:6" ht="24" customHeight="1" x14ac:dyDescent="0.25">
      <c r="A95" s="21"/>
      <c r="B95" s="10"/>
      <c r="C95" s="11"/>
      <c r="D95" s="12"/>
      <c r="E95" s="57"/>
      <c r="F95" s="13"/>
    </row>
    <row r="96" spans="1:6" ht="24" customHeight="1" x14ac:dyDescent="0.25">
      <c r="A96" s="66" t="s">
        <v>156</v>
      </c>
      <c r="B96" s="78"/>
      <c r="C96" s="78"/>
      <c r="D96" s="78"/>
      <c r="E96" s="78"/>
      <c r="F96" s="32">
        <f>SUM(F48:F94)</f>
        <v>0</v>
      </c>
    </row>
    <row r="97" spans="1:6" ht="24" customHeight="1" x14ac:dyDescent="0.25">
      <c r="A97" s="30" t="s">
        <v>115</v>
      </c>
      <c r="B97" s="26" t="s">
        <v>116</v>
      </c>
      <c r="C97" s="27"/>
      <c r="D97" s="28"/>
      <c r="E97" s="29"/>
      <c r="F97" s="29"/>
    </row>
    <row r="98" spans="1:6" ht="18" customHeight="1" x14ac:dyDescent="0.25">
      <c r="A98" s="47"/>
      <c r="B98" s="46" t="s">
        <v>194</v>
      </c>
      <c r="C98" s="43"/>
      <c r="D98" s="44"/>
      <c r="E98" s="45"/>
      <c r="F98" s="45"/>
    </row>
    <row r="99" spans="1:6" ht="24" customHeight="1" x14ac:dyDescent="0.25">
      <c r="A99" s="21" t="s">
        <v>117</v>
      </c>
      <c r="B99" s="54" t="s">
        <v>251</v>
      </c>
      <c r="C99" s="11">
        <v>1</v>
      </c>
      <c r="D99" s="12" t="s">
        <v>42</v>
      </c>
      <c r="E99" s="57"/>
      <c r="F99" s="13">
        <f t="shared" ref="F99:F113" si="4">ROUND(C99*E99,2)</f>
        <v>0</v>
      </c>
    </row>
    <row r="100" spans="1:6" ht="24" customHeight="1" x14ac:dyDescent="0.25">
      <c r="A100" s="21" t="s">
        <v>118</v>
      </c>
      <c r="B100" s="54" t="s">
        <v>131</v>
      </c>
      <c r="C100" s="11">
        <v>1</v>
      </c>
      <c r="D100" s="12" t="s">
        <v>42</v>
      </c>
      <c r="E100" s="57"/>
      <c r="F100" s="13">
        <f t="shared" si="4"/>
        <v>0</v>
      </c>
    </row>
    <row r="101" spans="1:6" ht="24" customHeight="1" x14ac:dyDescent="0.25">
      <c r="A101" s="21" t="s">
        <v>119</v>
      </c>
      <c r="B101" s="54" t="s">
        <v>132</v>
      </c>
      <c r="C101" s="11">
        <v>1</v>
      </c>
      <c r="D101" s="12" t="s">
        <v>42</v>
      </c>
      <c r="E101" s="57"/>
      <c r="F101" s="13">
        <f t="shared" si="4"/>
        <v>0</v>
      </c>
    </row>
    <row r="102" spans="1:6" ht="24" customHeight="1" x14ac:dyDescent="0.25">
      <c r="A102" s="21" t="s">
        <v>120</v>
      </c>
      <c r="B102" s="54" t="s">
        <v>133</v>
      </c>
      <c r="C102" s="11">
        <v>1</v>
      </c>
      <c r="D102" s="12" t="s">
        <v>42</v>
      </c>
      <c r="E102" s="57"/>
      <c r="F102" s="13">
        <f t="shared" si="4"/>
        <v>0</v>
      </c>
    </row>
    <row r="103" spans="1:6" ht="24" customHeight="1" x14ac:dyDescent="0.25">
      <c r="A103" s="21" t="s">
        <v>121</v>
      </c>
      <c r="B103" s="54" t="s">
        <v>134</v>
      </c>
      <c r="C103" s="11">
        <v>1</v>
      </c>
      <c r="D103" s="12" t="s">
        <v>42</v>
      </c>
      <c r="E103" s="57"/>
      <c r="F103" s="13">
        <f t="shared" si="4"/>
        <v>0</v>
      </c>
    </row>
    <row r="104" spans="1:6" ht="24" customHeight="1" x14ac:dyDescent="0.25">
      <c r="A104" s="21" t="s">
        <v>122</v>
      </c>
      <c r="B104" s="54" t="s">
        <v>252</v>
      </c>
      <c r="C104" s="11">
        <v>1</v>
      </c>
      <c r="D104" s="12" t="s">
        <v>42</v>
      </c>
      <c r="E104" s="57"/>
      <c r="F104" s="13">
        <f t="shared" si="4"/>
        <v>0</v>
      </c>
    </row>
    <row r="105" spans="1:6" ht="24" customHeight="1" x14ac:dyDescent="0.25">
      <c r="A105" s="21" t="s">
        <v>123</v>
      </c>
      <c r="B105" s="54" t="s">
        <v>135</v>
      </c>
      <c r="C105" s="11">
        <v>1</v>
      </c>
      <c r="D105" s="12" t="s">
        <v>42</v>
      </c>
      <c r="E105" s="57"/>
      <c r="F105" s="13">
        <f t="shared" si="4"/>
        <v>0</v>
      </c>
    </row>
    <row r="106" spans="1:6" ht="24" customHeight="1" x14ac:dyDescent="0.25">
      <c r="A106" s="21" t="s">
        <v>124</v>
      </c>
      <c r="B106" s="54" t="s">
        <v>136</v>
      </c>
      <c r="C106" s="11">
        <v>1</v>
      </c>
      <c r="D106" s="12" t="s">
        <v>42</v>
      </c>
      <c r="E106" s="57"/>
      <c r="F106" s="13">
        <f t="shared" si="4"/>
        <v>0</v>
      </c>
    </row>
    <row r="107" spans="1:6" ht="18" customHeight="1" x14ac:dyDescent="0.25">
      <c r="A107" s="42"/>
      <c r="B107" s="46" t="s">
        <v>195</v>
      </c>
      <c r="C107" s="43"/>
      <c r="D107" s="44"/>
      <c r="E107" s="45"/>
      <c r="F107" s="45"/>
    </row>
    <row r="108" spans="1:6" ht="24" customHeight="1" x14ac:dyDescent="0.25">
      <c r="A108" s="21" t="s">
        <v>125</v>
      </c>
      <c r="B108" s="54" t="s">
        <v>137</v>
      </c>
      <c r="C108" s="11">
        <v>1</v>
      </c>
      <c r="D108" s="12" t="s">
        <v>42</v>
      </c>
      <c r="E108" s="57"/>
      <c r="F108" s="13">
        <f t="shared" si="4"/>
        <v>0</v>
      </c>
    </row>
    <row r="109" spans="1:6" ht="24" customHeight="1" x14ac:dyDescent="0.25">
      <c r="A109" s="21" t="s">
        <v>126</v>
      </c>
      <c r="B109" s="54" t="s">
        <v>253</v>
      </c>
      <c r="C109" s="11">
        <v>1</v>
      </c>
      <c r="D109" s="12" t="s">
        <v>42</v>
      </c>
      <c r="E109" s="57"/>
      <c r="F109" s="13">
        <f t="shared" si="4"/>
        <v>0</v>
      </c>
    </row>
    <row r="110" spans="1:6" ht="26.25" customHeight="1" x14ac:dyDescent="0.25">
      <c r="A110" s="21" t="s">
        <v>127</v>
      </c>
      <c r="B110" s="54" t="s">
        <v>255</v>
      </c>
      <c r="C110" s="11">
        <v>1</v>
      </c>
      <c r="D110" s="12" t="s">
        <v>42</v>
      </c>
      <c r="E110" s="57"/>
      <c r="F110" s="13">
        <f t="shared" si="4"/>
        <v>0</v>
      </c>
    </row>
    <row r="111" spans="1:6" ht="25.5" customHeight="1" x14ac:dyDescent="0.25">
      <c r="A111" s="21" t="s">
        <v>128</v>
      </c>
      <c r="B111" s="54" t="s">
        <v>254</v>
      </c>
      <c r="C111" s="11">
        <v>1</v>
      </c>
      <c r="D111" s="12" t="s">
        <v>42</v>
      </c>
      <c r="E111" s="57"/>
      <c r="F111" s="13">
        <f t="shared" si="4"/>
        <v>0</v>
      </c>
    </row>
    <row r="112" spans="1:6" ht="24" customHeight="1" x14ac:dyDescent="0.25">
      <c r="A112" s="21" t="s">
        <v>129</v>
      </c>
      <c r="B112" s="54" t="s">
        <v>138</v>
      </c>
      <c r="C112" s="11">
        <v>1</v>
      </c>
      <c r="D112" s="12" t="s">
        <v>42</v>
      </c>
      <c r="E112" s="57"/>
      <c r="F112" s="13">
        <f t="shared" si="4"/>
        <v>0</v>
      </c>
    </row>
    <row r="113" spans="1:7" ht="24" customHeight="1" x14ac:dyDescent="0.25">
      <c r="A113" s="21" t="s">
        <v>130</v>
      </c>
      <c r="B113" s="54" t="s">
        <v>256</v>
      </c>
      <c r="C113" s="11">
        <v>1</v>
      </c>
      <c r="D113" s="12" t="s">
        <v>42</v>
      </c>
      <c r="E113" s="57"/>
      <c r="F113" s="13">
        <f t="shared" si="4"/>
        <v>0</v>
      </c>
    </row>
    <row r="114" spans="1:7" ht="24" customHeight="1" x14ac:dyDescent="0.25">
      <c r="A114" s="66" t="s">
        <v>177</v>
      </c>
      <c r="B114" s="66"/>
      <c r="C114" s="66"/>
      <c r="D114" s="66"/>
      <c r="E114" s="66"/>
      <c r="F114" s="32">
        <f>SUM(F99:F113)</f>
        <v>0</v>
      </c>
    </row>
    <row r="115" spans="1:7" ht="24" customHeight="1" x14ac:dyDescent="0.25">
      <c r="A115" s="31" t="s">
        <v>139</v>
      </c>
      <c r="B115" s="26" t="s">
        <v>140</v>
      </c>
      <c r="C115" s="27"/>
      <c r="D115" s="28"/>
      <c r="E115" s="29"/>
      <c r="F115" s="29"/>
    </row>
    <row r="116" spans="1:7" ht="18" customHeight="1" x14ac:dyDescent="0.25">
      <c r="A116" s="48"/>
      <c r="B116" s="46" t="s">
        <v>196</v>
      </c>
      <c r="C116" s="43"/>
      <c r="D116" s="44"/>
      <c r="E116" s="45"/>
      <c r="F116" s="45"/>
    </row>
    <row r="117" spans="1:7" ht="24" customHeight="1" x14ac:dyDescent="0.25">
      <c r="A117" s="21" t="s">
        <v>141</v>
      </c>
      <c r="B117" s="54" t="s">
        <v>149</v>
      </c>
      <c r="C117" s="11">
        <v>1</v>
      </c>
      <c r="D117" s="12" t="s">
        <v>42</v>
      </c>
      <c r="E117" s="57"/>
      <c r="F117" s="13">
        <f t="shared" ref="F117:F137" si="5">ROUND(C117*E117,2)</f>
        <v>0</v>
      </c>
    </row>
    <row r="118" spans="1:7" ht="24" customHeight="1" x14ac:dyDescent="0.25">
      <c r="A118" s="21" t="s">
        <v>142</v>
      </c>
      <c r="B118" s="54" t="s">
        <v>150</v>
      </c>
      <c r="C118" s="11">
        <v>1</v>
      </c>
      <c r="D118" s="12" t="s">
        <v>42</v>
      </c>
      <c r="E118" s="57"/>
      <c r="F118" s="13">
        <f t="shared" si="5"/>
        <v>0</v>
      </c>
    </row>
    <row r="119" spans="1:7" ht="24" customHeight="1" x14ac:dyDescent="0.25">
      <c r="A119" s="21" t="s">
        <v>143</v>
      </c>
      <c r="B119" s="54" t="s">
        <v>151</v>
      </c>
      <c r="C119" s="11">
        <v>1</v>
      </c>
      <c r="D119" s="12" t="s">
        <v>42</v>
      </c>
      <c r="E119" s="57"/>
      <c r="F119" s="13">
        <f t="shared" si="5"/>
        <v>0</v>
      </c>
    </row>
    <row r="120" spans="1:7" ht="24" customHeight="1" x14ac:dyDescent="0.25">
      <c r="A120" s="21" t="s">
        <v>144</v>
      </c>
      <c r="B120" s="54" t="s">
        <v>152</v>
      </c>
      <c r="C120" s="11">
        <v>1</v>
      </c>
      <c r="D120" s="12" t="s">
        <v>42</v>
      </c>
      <c r="E120" s="57"/>
      <c r="F120" s="13">
        <f t="shared" si="5"/>
        <v>0</v>
      </c>
    </row>
    <row r="121" spans="1:7" ht="24" customHeight="1" x14ac:dyDescent="0.25">
      <c r="A121" s="21" t="s">
        <v>145</v>
      </c>
      <c r="B121" s="54" t="s">
        <v>153</v>
      </c>
      <c r="C121" s="11">
        <v>1</v>
      </c>
      <c r="D121" s="12" t="s">
        <v>42</v>
      </c>
      <c r="E121" s="57"/>
      <c r="F121" s="13">
        <f t="shared" si="5"/>
        <v>0</v>
      </c>
    </row>
    <row r="122" spans="1:7" ht="26.25" customHeight="1" x14ac:dyDescent="0.25">
      <c r="A122" s="21" t="s">
        <v>146</v>
      </c>
      <c r="B122" s="54" t="s">
        <v>257</v>
      </c>
      <c r="C122" s="11">
        <v>1</v>
      </c>
      <c r="D122" s="12" t="s">
        <v>42</v>
      </c>
      <c r="E122" s="57"/>
      <c r="F122" s="13">
        <f t="shared" si="5"/>
        <v>0</v>
      </c>
    </row>
    <row r="123" spans="1:7" ht="24" customHeight="1" x14ac:dyDescent="0.25">
      <c r="A123" s="21" t="s">
        <v>147</v>
      </c>
      <c r="B123" s="54" t="s">
        <v>154</v>
      </c>
      <c r="C123" s="11">
        <v>1</v>
      </c>
      <c r="D123" s="12" t="s">
        <v>42</v>
      </c>
      <c r="E123" s="57"/>
      <c r="F123" s="13">
        <f t="shared" si="5"/>
        <v>0</v>
      </c>
    </row>
    <row r="124" spans="1:7" ht="24" customHeight="1" x14ac:dyDescent="0.25">
      <c r="A124" s="21" t="s">
        <v>148</v>
      </c>
      <c r="B124" s="54" t="s">
        <v>155</v>
      </c>
      <c r="C124" s="11">
        <v>1</v>
      </c>
      <c r="D124" s="12" t="s">
        <v>42</v>
      </c>
      <c r="E124" s="57"/>
      <c r="F124" s="13">
        <f t="shared" si="5"/>
        <v>0</v>
      </c>
      <c r="G124" s="33"/>
    </row>
    <row r="125" spans="1:7" ht="18" customHeight="1" x14ac:dyDescent="0.25">
      <c r="A125" s="42"/>
      <c r="B125" s="46" t="s">
        <v>258</v>
      </c>
      <c r="C125" s="43"/>
      <c r="D125" s="44"/>
      <c r="E125" s="45"/>
      <c r="F125" s="45"/>
      <c r="G125" s="33"/>
    </row>
    <row r="126" spans="1:7" ht="24" customHeight="1" x14ac:dyDescent="0.25">
      <c r="A126" s="21" t="s">
        <v>157</v>
      </c>
      <c r="B126" s="54" t="s">
        <v>168</v>
      </c>
      <c r="C126" s="11">
        <v>1</v>
      </c>
      <c r="D126" s="12" t="s">
        <v>42</v>
      </c>
      <c r="E126" s="57"/>
      <c r="F126" s="13">
        <f t="shared" si="5"/>
        <v>0</v>
      </c>
    </row>
    <row r="127" spans="1:7" ht="24" customHeight="1" x14ac:dyDescent="0.25">
      <c r="A127" s="21" t="s">
        <v>158</v>
      </c>
      <c r="B127" s="54" t="s">
        <v>259</v>
      </c>
      <c r="C127" s="11">
        <v>1</v>
      </c>
      <c r="D127" s="12" t="s">
        <v>42</v>
      </c>
      <c r="E127" s="57"/>
      <c r="F127" s="13">
        <f t="shared" si="5"/>
        <v>0</v>
      </c>
    </row>
    <row r="128" spans="1:7" ht="24" customHeight="1" x14ac:dyDescent="0.25">
      <c r="A128" s="21" t="s">
        <v>159</v>
      </c>
      <c r="B128" s="54" t="s">
        <v>169</v>
      </c>
      <c r="C128" s="11">
        <v>1</v>
      </c>
      <c r="D128" s="12" t="s">
        <v>42</v>
      </c>
      <c r="E128" s="57"/>
      <c r="F128" s="13">
        <f t="shared" si="5"/>
        <v>0</v>
      </c>
    </row>
    <row r="129" spans="1:9" ht="24" customHeight="1" x14ac:dyDescent="0.25">
      <c r="A129" s="21" t="s">
        <v>160</v>
      </c>
      <c r="B129" s="54" t="s">
        <v>170</v>
      </c>
      <c r="C129" s="11">
        <v>1</v>
      </c>
      <c r="D129" s="12" t="s">
        <v>42</v>
      </c>
      <c r="E129" s="57"/>
      <c r="F129" s="13">
        <f t="shared" si="5"/>
        <v>0</v>
      </c>
    </row>
    <row r="130" spans="1:9" ht="24" customHeight="1" x14ac:dyDescent="0.25">
      <c r="A130" s="21" t="s">
        <v>161</v>
      </c>
      <c r="B130" s="54" t="s">
        <v>171</v>
      </c>
      <c r="C130" s="11">
        <v>1</v>
      </c>
      <c r="D130" s="12" t="s">
        <v>42</v>
      </c>
      <c r="E130" s="57"/>
      <c r="F130" s="13">
        <f t="shared" si="5"/>
        <v>0</v>
      </c>
    </row>
    <row r="131" spans="1:9" ht="24" customHeight="1" x14ac:dyDescent="0.25">
      <c r="A131" s="21" t="s">
        <v>162</v>
      </c>
      <c r="B131" s="54" t="s">
        <v>172</v>
      </c>
      <c r="C131" s="11">
        <v>1</v>
      </c>
      <c r="D131" s="12" t="s">
        <v>42</v>
      </c>
      <c r="E131" s="57"/>
      <c r="F131" s="13">
        <f t="shared" si="5"/>
        <v>0</v>
      </c>
    </row>
    <row r="132" spans="1:9" ht="24" customHeight="1" x14ac:dyDescent="0.25">
      <c r="A132" s="21" t="s">
        <v>163</v>
      </c>
      <c r="B132" s="54" t="s">
        <v>173</v>
      </c>
      <c r="C132" s="11">
        <v>1</v>
      </c>
      <c r="D132" s="12" t="s">
        <v>42</v>
      </c>
      <c r="E132" s="57"/>
      <c r="F132" s="13">
        <f t="shared" si="5"/>
        <v>0</v>
      </c>
    </row>
    <row r="133" spans="1:9" ht="24" customHeight="1" x14ac:dyDescent="0.25">
      <c r="A133" s="21" t="s">
        <v>164</v>
      </c>
      <c r="B133" s="54" t="s">
        <v>184</v>
      </c>
      <c r="C133" s="11">
        <v>1</v>
      </c>
      <c r="D133" s="12" t="s">
        <v>42</v>
      </c>
      <c r="E133" s="57"/>
      <c r="F133" s="13">
        <f t="shared" si="5"/>
        <v>0</v>
      </c>
    </row>
    <row r="134" spans="1:9" ht="24" customHeight="1" x14ac:dyDescent="0.25">
      <c r="A134" s="21" t="s">
        <v>165</v>
      </c>
      <c r="B134" s="54" t="s">
        <v>260</v>
      </c>
      <c r="C134" s="11">
        <v>1</v>
      </c>
      <c r="D134" s="12" t="s">
        <v>42</v>
      </c>
      <c r="E134" s="57"/>
      <c r="F134" s="13">
        <f t="shared" si="5"/>
        <v>0</v>
      </c>
    </row>
    <row r="135" spans="1:9" ht="24" customHeight="1" x14ac:dyDescent="0.25">
      <c r="A135" s="21" t="s">
        <v>166</v>
      </c>
      <c r="B135" s="54" t="s">
        <v>174</v>
      </c>
      <c r="C135" s="11">
        <v>1</v>
      </c>
      <c r="D135" s="12" t="s">
        <v>42</v>
      </c>
      <c r="E135" s="57"/>
      <c r="F135" s="13">
        <f t="shared" si="5"/>
        <v>0</v>
      </c>
    </row>
    <row r="136" spans="1:9" ht="24" customHeight="1" x14ac:dyDescent="0.25">
      <c r="A136" s="21" t="s">
        <v>167</v>
      </c>
      <c r="B136" s="54" t="s">
        <v>175</v>
      </c>
      <c r="C136" s="11">
        <v>1</v>
      </c>
      <c r="D136" s="12" t="s">
        <v>42</v>
      </c>
      <c r="E136" s="57"/>
      <c r="F136" s="13">
        <f t="shared" si="5"/>
        <v>0</v>
      </c>
    </row>
    <row r="137" spans="1:9" ht="24" customHeight="1" x14ac:dyDescent="0.25">
      <c r="A137" s="35" t="s">
        <v>240</v>
      </c>
      <c r="B137" s="56" t="s">
        <v>176</v>
      </c>
      <c r="C137" s="36">
        <v>1</v>
      </c>
      <c r="D137" s="37" t="s">
        <v>42</v>
      </c>
      <c r="E137" s="60"/>
      <c r="F137" s="38">
        <f t="shared" si="5"/>
        <v>0</v>
      </c>
      <c r="G137" s="33"/>
    </row>
    <row r="138" spans="1:9" ht="24" customHeight="1" x14ac:dyDescent="0.25">
      <c r="A138" s="79" t="s">
        <v>183</v>
      </c>
      <c r="B138" s="79"/>
      <c r="C138" s="79"/>
      <c r="D138" s="79"/>
      <c r="E138" s="79"/>
      <c r="F138" s="34">
        <f>SUM(F117:F137)</f>
        <v>0</v>
      </c>
    </row>
    <row r="139" spans="1:9" ht="24" customHeight="1" x14ac:dyDescent="0.25">
      <c r="A139" s="30" t="s">
        <v>178</v>
      </c>
      <c r="B139" s="26" t="s">
        <v>179</v>
      </c>
      <c r="C139" s="27"/>
      <c r="D139" s="28"/>
      <c r="E139" s="29"/>
      <c r="F139" s="29"/>
    </row>
    <row r="140" spans="1:9" ht="24" customHeight="1" x14ac:dyDescent="0.25">
      <c r="A140" s="21" t="s">
        <v>180</v>
      </c>
      <c r="B140" s="54" t="s">
        <v>261</v>
      </c>
      <c r="C140" s="11">
        <v>1</v>
      </c>
      <c r="D140" s="12" t="s">
        <v>42</v>
      </c>
      <c r="E140" s="57"/>
      <c r="F140" s="13">
        <f t="shared" ref="F140:F141" si="6">ROUND(C140*E140,2)</f>
        <v>0</v>
      </c>
    </row>
    <row r="141" spans="1:9" ht="24" customHeight="1" x14ac:dyDescent="0.25">
      <c r="A141" s="21" t="s">
        <v>181</v>
      </c>
      <c r="B141" s="54" t="s">
        <v>182</v>
      </c>
      <c r="C141" s="11">
        <v>1</v>
      </c>
      <c r="D141" s="12" t="s">
        <v>42</v>
      </c>
      <c r="E141" s="57"/>
      <c r="F141" s="13">
        <f t="shared" si="6"/>
        <v>0</v>
      </c>
    </row>
    <row r="142" spans="1:9" ht="24" customHeight="1" x14ac:dyDescent="0.25">
      <c r="A142" s="66" t="s">
        <v>183</v>
      </c>
      <c r="B142" s="66"/>
      <c r="C142" s="66"/>
      <c r="D142" s="66"/>
      <c r="E142" s="66"/>
      <c r="F142" s="23">
        <f>SUM(F140:F141)</f>
        <v>0</v>
      </c>
      <c r="G142" s="6"/>
    </row>
    <row r="143" spans="1:9" ht="24" customHeight="1" x14ac:dyDescent="0.25">
      <c r="A143" s="67" t="s">
        <v>237</v>
      </c>
      <c r="B143" s="67"/>
      <c r="C143" s="67"/>
      <c r="D143" s="67"/>
      <c r="E143" s="67"/>
      <c r="F143" s="24">
        <f>ROUND(SUM(F18+F45+F96+F114+F138+F142),2)</f>
        <v>0</v>
      </c>
      <c r="H143" s="2"/>
      <c r="I143" s="33"/>
    </row>
    <row r="144" spans="1:9" ht="24" customHeight="1" x14ac:dyDescent="0.25">
      <c r="A144" s="76" t="s">
        <v>1</v>
      </c>
      <c r="B144" s="76"/>
      <c r="C144" s="76"/>
      <c r="D144" s="76"/>
      <c r="E144" s="76"/>
      <c r="F144" s="23">
        <f>ROUND(SUM($F$143*0.05),2)</f>
        <v>0</v>
      </c>
    </row>
    <row r="145" spans="1:6" ht="24" customHeight="1" x14ac:dyDescent="0.25">
      <c r="A145" s="76" t="s">
        <v>2</v>
      </c>
      <c r="B145" s="76"/>
      <c r="C145" s="76"/>
      <c r="D145" s="76"/>
      <c r="E145" s="76"/>
      <c r="F145" s="25">
        <f>ROUND(SUM($F$143*0.09975),2)</f>
        <v>0</v>
      </c>
    </row>
    <row r="146" spans="1:6" ht="24" customHeight="1" x14ac:dyDescent="0.25">
      <c r="A146" s="67" t="s">
        <v>0</v>
      </c>
      <c r="B146" s="67"/>
      <c r="C146" s="67"/>
      <c r="D146" s="67"/>
      <c r="E146" s="67"/>
      <c r="F146" s="23">
        <f>ROUND(SUM($F$143:F145),2)</f>
        <v>0</v>
      </c>
    </row>
    <row r="147" spans="1:6" ht="133.5" customHeight="1" x14ac:dyDescent="0.25">
      <c r="A147" s="73" t="s">
        <v>17</v>
      </c>
      <c r="B147" s="73"/>
      <c r="C147" s="73"/>
      <c r="D147" s="73"/>
      <c r="E147" s="73"/>
      <c r="F147" s="73"/>
    </row>
    <row r="148" spans="1:6" ht="63" customHeight="1" x14ac:dyDescent="0.25">
      <c r="A148" s="68" t="s">
        <v>4</v>
      </c>
      <c r="B148" s="68"/>
      <c r="C148" s="68"/>
      <c r="D148" s="68"/>
      <c r="E148" s="68"/>
      <c r="F148" s="68"/>
    </row>
    <row r="149" spans="1:6" x14ac:dyDescent="0.25">
      <c r="A149" s="14"/>
      <c r="B149" s="14"/>
      <c r="C149" s="14"/>
      <c r="D149" s="14"/>
      <c r="E149" s="14"/>
      <c r="F149" s="14"/>
    </row>
    <row r="151" spans="1:6" x14ac:dyDescent="0.25">
      <c r="A151" s="64" t="s">
        <v>13</v>
      </c>
      <c r="B151" s="64"/>
      <c r="C151" s="65"/>
      <c r="D151" s="65"/>
      <c r="E151" s="65"/>
      <c r="F151" s="65"/>
    </row>
    <row r="152" spans="1:6" x14ac:dyDescent="0.25">
      <c r="C152" s="63" t="s">
        <v>3</v>
      </c>
      <c r="D152" s="63"/>
      <c r="E152" s="63"/>
      <c r="F152" s="63"/>
    </row>
    <row r="153" spans="1:6" x14ac:dyDescent="0.25">
      <c r="C153" s="16"/>
    </row>
    <row r="155" spans="1:6" x14ac:dyDescent="0.25">
      <c r="A155" s="64" t="s">
        <v>14</v>
      </c>
      <c r="B155" s="64"/>
      <c r="C155" s="65"/>
      <c r="D155" s="65"/>
      <c r="E155" s="65"/>
      <c r="F155" s="65"/>
    </row>
    <row r="156" spans="1:6" x14ac:dyDescent="0.25">
      <c r="A156" s="17"/>
      <c r="B156" s="17"/>
      <c r="C156" s="17"/>
      <c r="D156" s="17"/>
      <c r="E156" s="17"/>
      <c r="F156" s="17"/>
    </row>
    <row r="157" spans="1:6" x14ac:dyDescent="0.25">
      <c r="A157" s="17"/>
      <c r="B157" s="17"/>
      <c r="C157" s="17"/>
      <c r="D157" s="17"/>
      <c r="E157" s="17"/>
      <c r="F157" s="17"/>
    </row>
    <row r="158" spans="1:6" x14ac:dyDescent="0.25">
      <c r="A158" s="18"/>
      <c r="B158" s="17"/>
      <c r="C158" s="17"/>
      <c r="D158" s="15" t="s">
        <v>15</v>
      </c>
      <c r="E158" s="62"/>
      <c r="F158" s="62"/>
    </row>
    <row r="159" spans="1:6" x14ac:dyDescent="0.25">
      <c r="B159" s="17"/>
      <c r="C159" s="17"/>
      <c r="D159" s="17"/>
    </row>
  </sheetData>
  <sheetProtection algorithmName="SHA-512" hashValue="7tCyUepEiqiYiDTVqBdkFmJ6BMoKQ/ICgjEw9k+qllM/LHpwFzD9LhoJmQAqJBoSt4P99GHxjVkPRuTRQPuHhA==" saltValue="C0/40kiwW+XUvFervb1hAA==" spinCount="100000" sheet="1" objects="1" scenarios="1" selectLockedCells="1"/>
  <mergeCells count="23">
    <mergeCell ref="A145:E145"/>
    <mergeCell ref="A146:E146"/>
    <mergeCell ref="B19:F19"/>
    <mergeCell ref="A45:E45"/>
    <mergeCell ref="A96:E96"/>
    <mergeCell ref="A114:E114"/>
    <mergeCell ref="A138:E138"/>
    <mergeCell ref="E1:F1"/>
    <mergeCell ref="E158:F158"/>
    <mergeCell ref="C152:F152"/>
    <mergeCell ref="A155:B155"/>
    <mergeCell ref="C155:F155"/>
    <mergeCell ref="A142:E142"/>
    <mergeCell ref="A143:E143"/>
    <mergeCell ref="A151:B151"/>
    <mergeCell ref="C151:F151"/>
    <mergeCell ref="A148:F148"/>
    <mergeCell ref="A4:F4"/>
    <mergeCell ref="A5:F5"/>
    <mergeCell ref="A6:F6"/>
    <mergeCell ref="A147:F147"/>
    <mergeCell ref="A18:E18"/>
    <mergeCell ref="A144:E144"/>
  </mergeCells>
  <phoneticPr fontId="19" type="noConversion"/>
  <printOptions horizontalCentered="1"/>
  <pageMargins left="0.38" right="0.3" top="0.61" bottom="0.57999999999999996" header="0.31496062992125984" footer="0.31496062992125984"/>
  <pageSetup paperSize="5" scale="81" fitToHeight="0" orientation="portrait" r:id="rId1"/>
  <headerFooter>
    <oddFooter>&amp;C&amp;"Arial,Normal"&amp;9Page &amp;P de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22F37EF9015D48B7552A2AAE1843FD" ma:contentTypeVersion="21" ma:contentTypeDescription="Crée un document." ma:contentTypeScope="" ma:versionID="8d72116c286220770f16dcb12a7954a8">
  <xsd:schema xmlns:xsd="http://www.w3.org/2001/XMLSchema" xmlns:xs="http://www.w3.org/2001/XMLSchema" xmlns:p="http://schemas.microsoft.com/office/2006/metadata/properties" xmlns:ns2="218f0b8f-4625-4e4f-b3a8-2db0501bc998" xmlns:ns3="1497e8e9-e06f-4e8b-95fe-b8896429c633" targetNamespace="http://schemas.microsoft.com/office/2006/metadata/properties" ma:root="true" ma:fieldsID="fff76609840c42562c61f72cd2be1561" ns2:_="" ns3:_="">
    <xsd:import namespace="218f0b8f-4625-4e4f-b3a8-2db0501bc998"/>
    <xsd:import namespace="1497e8e9-e06f-4e8b-95fe-b8896429c633"/>
    <xsd:element name="properties">
      <xsd:complexType>
        <xsd:sequence>
          <xsd:element name="documentManagement">
            <xsd:complexType>
              <xsd:all>
                <xsd:element ref="ns2:SharedWithUsers" minOccurs="0"/>
                <xsd:element ref="ns2:SharingHintHash"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8f0b8f-4625-4e4f-b3a8-2db0501bc998"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Partage du hachage d’indicateur" ma:internalName="SharingHintHash" ma:readOnly="true">
      <xsd:simpleType>
        <xsd:restriction base="dms:Text"/>
      </xsd:simpleType>
    </xsd:element>
    <xsd:element name="SharedWithDetails" ma:index="10" nillable="true" ma:displayName="Partagé avec détails" ma:internalName="SharedWithDetails" ma:readOnly="true">
      <xsd:simpleType>
        <xsd:restriction base="dms:Note">
          <xsd:maxLength value="255"/>
        </xsd:restriction>
      </xsd:simpleType>
    </xsd:element>
    <xsd:element name="TaxCatchAll" ma:index="24" nillable="true" ma:displayName="Taxonomy Catch All Column" ma:hidden="true" ma:list="{e9947c32-5d6c-410c-b1ee-19d9e0e790f0}" ma:internalName="TaxCatchAll" ma:showField="CatchAllData" ma:web="218f0b8f-4625-4e4f-b3a8-2db0501bc99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497e8e9-e06f-4e8b-95fe-b8896429c633"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fcce12db-70da-4ce6-999d-5a4d78977ef6"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_Flow_SignoffStatus" ma:index="27" nillable="true" ma:displayName="État de validation" ma:internalName="_x0024_Resources_x003a_core_x002c_Signoff_Status">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1497e8e9-e06f-4e8b-95fe-b8896429c633" xsi:nil="true"/>
    <TaxCatchAll xmlns="218f0b8f-4625-4e4f-b3a8-2db0501bc998" xsi:nil="true"/>
    <lcf76f155ced4ddcb4097134ff3c332f xmlns="1497e8e9-e06f-4e8b-95fe-b8896429c63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18ABD82-0575-4C4E-8FAD-DD75E47169B0}"/>
</file>

<file path=customXml/itemProps2.xml><?xml version="1.0" encoding="utf-8"?>
<ds:datastoreItem xmlns:ds="http://schemas.openxmlformats.org/officeDocument/2006/customXml" ds:itemID="{C2B3F81C-3E71-4365-B8E5-B096720417F1}"/>
</file>

<file path=customXml/itemProps3.xml><?xml version="1.0" encoding="utf-8"?>
<ds:datastoreItem xmlns:ds="http://schemas.openxmlformats.org/officeDocument/2006/customXml" ds:itemID="{70EC462D-2C4F-4795-9D98-B29FA90BF4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Bordereau de prix</vt:lpstr>
      <vt:lpstr>'Bordereau de prix'!Impression_des_titres</vt:lpstr>
      <vt:lpstr>'Bordereau de prix'!Zone_d_impression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Blais, Rejean</dc:creator>
  <cp:lastModifiedBy>Dupere, Nicole</cp:lastModifiedBy>
  <cp:lastPrinted>2026-09-30T14:49:42Z</cp:lastPrinted>
  <dcterms:created xsi:type="dcterms:W3CDTF">2024-08-07T15:13:54Z</dcterms:created>
  <dcterms:modified xsi:type="dcterms:W3CDTF">2026-09-30T14:49:47Z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0x0101004C22F37EF9015D48B7552A2AAE1843FD</vt:lpwstr>
  </property>
</Properties>
</file>