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S:\Soumission\Soumission 2026\S-1902 BIBLIOTHEQUE GEORGETTE -LEPAGE\"/>
    </mc:Choice>
  </mc:AlternateContent>
  <xr:revisionPtr revIDLastSave="0" documentId="8_{ABBBEAF1-B8D8-4978-838F-142B1561D50A}" xr6:coauthVersionLast="47" xr6:coauthVersionMax="47" xr10:uidLastSave="{00000000-0000-0000-0000-000000000000}"/>
  <bookViews>
    <workbookView xWindow="76680" yWindow="-120" windowWidth="38640" windowHeight="21120" tabRatio="500" xr2:uid="{00000000-000D-0000-FFFF-FFFF00000000}"/>
  </bookViews>
  <sheets>
    <sheet name="Sommaire" sheetId="1" r:id="rId1"/>
    <sheet name="Détail" sheetId="2" r:id="rId2"/>
    <sheet name="Matériel Lume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8" i="3" l="1"/>
  <c r="F47" i="3"/>
  <c r="F46" i="3"/>
  <c r="F45" i="3"/>
  <c r="F43" i="3"/>
  <c r="F42" i="3"/>
  <c r="F41" i="3"/>
  <c r="F40" i="3"/>
  <c r="F39" i="3"/>
  <c r="F38" i="3"/>
  <c r="F37" i="3"/>
  <c r="F35" i="3"/>
  <c r="F34" i="3"/>
  <c r="F33" i="3"/>
  <c r="F32" i="3"/>
  <c r="F31" i="3"/>
  <c r="F30" i="3"/>
  <c r="F29" i="3"/>
  <c r="F28" i="3"/>
  <c r="F27" i="3"/>
  <c r="F25" i="3"/>
  <c r="F24" i="3"/>
  <c r="F23" i="3"/>
  <c r="F22" i="3"/>
  <c r="F21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49" i="3" s="1"/>
  <c r="F23" i="1" s="1"/>
  <c r="I104" i="2"/>
  <c r="J104" i="2" s="1"/>
  <c r="G104" i="2"/>
  <c r="K104" i="2" s="1"/>
  <c r="J103" i="2"/>
  <c r="I103" i="2"/>
  <c r="G103" i="2"/>
  <c r="K103" i="2" s="1"/>
  <c r="I102" i="2"/>
  <c r="J102" i="2" s="1"/>
  <c r="G102" i="2"/>
  <c r="K102" i="2" s="1"/>
  <c r="I101" i="2"/>
  <c r="G101" i="2"/>
  <c r="I97" i="2"/>
  <c r="J97" i="2" s="1"/>
  <c r="G97" i="2"/>
  <c r="K97" i="2" s="1"/>
  <c r="I96" i="2"/>
  <c r="J96" i="2" s="1"/>
  <c r="G96" i="2"/>
  <c r="K96" i="2" s="1"/>
  <c r="I95" i="2"/>
  <c r="J95" i="2" s="1"/>
  <c r="G95" i="2"/>
  <c r="K95" i="2" s="1"/>
  <c r="I94" i="2"/>
  <c r="J94" i="2" s="1"/>
  <c r="G94" i="2"/>
  <c r="K94" i="2" s="1"/>
  <c r="I93" i="2"/>
  <c r="J93" i="2" s="1"/>
  <c r="G93" i="2"/>
  <c r="K93" i="2" s="1"/>
  <c r="I92" i="2"/>
  <c r="J92" i="2" s="1"/>
  <c r="G92" i="2"/>
  <c r="K92" i="2" s="1"/>
  <c r="I91" i="2"/>
  <c r="G91" i="2"/>
  <c r="G98" i="2" s="1"/>
  <c r="C19" i="1" s="1"/>
  <c r="I87" i="2"/>
  <c r="J87" i="2" s="1"/>
  <c r="G87" i="2"/>
  <c r="K87" i="2" s="1"/>
  <c r="I86" i="2"/>
  <c r="J86" i="2" s="1"/>
  <c r="G86" i="2"/>
  <c r="I85" i="2"/>
  <c r="J85" i="2" s="1"/>
  <c r="G85" i="2"/>
  <c r="I84" i="2"/>
  <c r="J84" i="2" s="1"/>
  <c r="G84" i="2"/>
  <c r="K84" i="2" s="1"/>
  <c r="I83" i="2"/>
  <c r="J83" i="2" s="1"/>
  <c r="G83" i="2"/>
  <c r="I82" i="2"/>
  <c r="G82" i="2"/>
  <c r="I81" i="2"/>
  <c r="J81" i="2" s="1"/>
  <c r="G81" i="2"/>
  <c r="K81" i="2" s="1"/>
  <c r="I80" i="2"/>
  <c r="J80" i="2" s="1"/>
  <c r="G80" i="2"/>
  <c r="K80" i="2" s="1"/>
  <c r="I79" i="2"/>
  <c r="J79" i="2" s="1"/>
  <c r="G79" i="2"/>
  <c r="K79" i="2" s="1"/>
  <c r="I78" i="2"/>
  <c r="J78" i="2" s="1"/>
  <c r="G78" i="2"/>
  <c r="I74" i="2"/>
  <c r="J74" i="2" s="1"/>
  <c r="G74" i="2"/>
  <c r="K74" i="2" s="1"/>
  <c r="I73" i="2"/>
  <c r="J73" i="2" s="1"/>
  <c r="G73" i="2"/>
  <c r="K73" i="2" s="1"/>
  <c r="I72" i="2"/>
  <c r="J72" i="2" s="1"/>
  <c r="G72" i="2"/>
  <c r="I71" i="2"/>
  <c r="J71" i="2" s="1"/>
  <c r="G71" i="2"/>
  <c r="K71" i="2" s="1"/>
  <c r="I70" i="2"/>
  <c r="J70" i="2" s="1"/>
  <c r="G70" i="2"/>
  <c r="K70" i="2" s="1"/>
  <c r="I69" i="2"/>
  <c r="J69" i="2" s="1"/>
  <c r="G69" i="2"/>
  <c r="K69" i="2" s="1"/>
  <c r="I68" i="2"/>
  <c r="J68" i="2" s="1"/>
  <c r="G68" i="2"/>
  <c r="K68" i="2" s="1"/>
  <c r="I67" i="2"/>
  <c r="J67" i="2" s="1"/>
  <c r="G67" i="2"/>
  <c r="K67" i="2" s="1"/>
  <c r="I66" i="2"/>
  <c r="G66" i="2"/>
  <c r="J65" i="2"/>
  <c r="K65" i="2" s="1"/>
  <c r="I65" i="2"/>
  <c r="G65" i="2"/>
  <c r="I64" i="2"/>
  <c r="J64" i="2" s="1"/>
  <c r="G64" i="2"/>
  <c r="K64" i="2" s="1"/>
  <c r="I60" i="2"/>
  <c r="J60" i="2" s="1"/>
  <c r="G60" i="2"/>
  <c r="K60" i="2" s="1"/>
  <c r="I59" i="2"/>
  <c r="J59" i="2" s="1"/>
  <c r="G59" i="2"/>
  <c r="K59" i="2" s="1"/>
  <c r="I58" i="2"/>
  <c r="J58" i="2" s="1"/>
  <c r="G58" i="2"/>
  <c r="K58" i="2" s="1"/>
  <c r="I57" i="2"/>
  <c r="J57" i="2" s="1"/>
  <c r="G57" i="2"/>
  <c r="K57" i="2" s="1"/>
  <c r="I56" i="2"/>
  <c r="J56" i="2" s="1"/>
  <c r="G56" i="2"/>
  <c r="K56" i="2" s="1"/>
  <c r="I55" i="2"/>
  <c r="J55" i="2" s="1"/>
  <c r="G55" i="2"/>
  <c r="K55" i="2" s="1"/>
  <c r="I54" i="2"/>
  <c r="J54" i="2" s="1"/>
  <c r="G54" i="2"/>
  <c r="K54" i="2" s="1"/>
  <c r="I53" i="2"/>
  <c r="J53" i="2" s="1"/>
  <c r="G53" i="2"/>
  <c r="K53" i="2" s="1"/>
  <c r="I52" i="2"/>
  <c r="J52" i="2" s="1"/>
  <c r="G52" i="2"/>
  <c r="K52" i="2" s="1"/>
  <c r="I51" i="2"/>
  <c r="J51" i="2" s="1"/>
  <c r="G51" i="2"/>
  <c r="K51" i="2" s="1"/>
  <c r="I50" i="2"/>
  <c r="J50" i="2" s="1"/>
  <c r="G50" i="2"/>
  <c r="K50" i="2" s="1"/>
  <c r="I49" i="2"/>
  <c r="J49" i="2" s="1"/>
  <c r="G49" i="2"/>
  <c r="K49" i="2" s="1"/>
  <c r="I48" i="2"/>
  <c r="J48" i="2" s="1"/>
  <c r="G48" i="2"/>
  <c r="K48" i="2" s="1"/>
  <c r="I47" i="2"/>
  <c r="J47" i="2" s="1"/>
  <c r="G47" i="2"/>
  <c r="K47" i="2" s="1"/>
  <c r="I46" i="2"/>
  <c r="J46" i="2" s="1"/>
  <c r="G46" i="2"/>
  <c r="K46" i="2" s="1"/>
  <c r="I45" i="2"/>
  <c r="G45" i="2"/>
  <c r="I41" i="2"/>
  <c r="J41" i="2" s="1"/>
  <c r="G41" i="2"/>
  <c r="K41" i="2" s="1"/>
  <c r="I40" i="2"/>
  <c r="J40" i="2" s="1"/>
  <c r="G40" i="2"/>
  <c r="K40" i="2" s="1"/>
  <c r="I39" i="2"/>
  <c r="J39" i="2" s="1"/>
  <c r="G39" i="2"/>
  <c r="K39" i="2" s="1"/>
  <c r="I38" i="2"/>
  <c r="J38" i="2" s="1"/>
  <c r="G38" i="2"/>
  <c r="K38" i="2" s="1"/>
  <c r="I37" i="2"/>
  <c r="J37" i="2" s="1"/>
  <c r="G37" i="2"/>
  <c r="K37" i="2" s="1"/>
  <c r="I36" i="2"/>
  <c r="J36" i="2" s="1"/>
  <c r="G36" i="2"/>
  <c r="I35" i="2"/>
  <c r="J35" i="2" s="1"/>
  <c r="G35" i="2"/>
  <c r="K35" i="2" s="1"/>
  <c r="I34" i="2"/>
  <c r="G34" i="2"/>
  <c r="I30" i="2"/>
  <c r="J30" i="2" s="1"/>
  <c r="G30" i="2"/>
  <c r="I29" i="2"/>
  <c r="J29" i="2" s="1"/>
  <c r="G29" i="2"/>
  <c r="K29" i="2" s="1"/>
  <c r="I28" i="2"/>
  <c r="J28" i="2" s="1"/>
  <c r="G28" i="2"/>
  <c r="I27" i="2"/>
  <c r="J27" i="2" s="1"/>
  <c r="G27" i="2"/>
  <c r="I26" i="2"/>
  <c r="J26" i="2" s="1"/>
  <c r="G26" i="2"/>
  <c r="I25" i="2"/>
  <c r="J25" i="2" s="1"/>
  <c r="G25" i="2"/>
  <c r="K25" i="2" s="1"/>
  <c r="I24" i="2"/>
  <c r="J24" i="2" s="1"/>
  <c r="G24" i="2"/>
  <c r="K24" i="2" s="1"/>
  <c r="I23" i="2"/>
  <c r="J23" i="2" s="1"/>
  <c r="G23" i="2"/>
  <c r="I22" i="2"/>
  <c r="G22" i="2"/>
  <c r="J18" i="2"/>
  <c r="I18" i="2"/>
  <c r="G18" i="2"/>
  <c r="K18" i="2" s="1"/>
  <c r="I17" i="2"/>
  <c r="J17" i="2" s="1"/>
  <c r="G17" i="2"/>
  <c r="K17" i="2" s="1"/>
  <c r="J16" i="2"/>
  <c r="I16" i="2"/>
  <c r="G16" i="2"/>
  <c r="K16" i="2" s="1"/>
  <c r="I15" i="2"/>
  <c r="J15" i="2" s="1"/>
  <c r="G15" i="2"/>
  <c r="K15" i="2" s="1"/>
  <c r="I14" i="2"/>
  <c r="J14" i="2" s="1"/>
  <c r="G14" i="2"/>
  <c r="K14" i="2" s="1"/>
  <c r="I13" i="2"/>
  <c r="J13" i="2" s="1"/>
  <c r="G13" i="2"/>
  <c r="K13" i="2" s="1"/>
  <c r="J12" i="2"/>
  <c r="I12" i="2"/>
  <c r="G12" i="2"/>
  <c r="K12" i="2" s="1"/>
  <c r="I11" i="2"/>
  <c r="J11" i="2" s="1"/>
  <c r="K11" i="2" s="1"/>
  <c r="G11" i="2"/>
  <c r="I10" i="2"/>
  <c r="J10" i="2" s="1"/>
  <c r="G10" i="2"/>
  <c r="K10" i="2" s="1"/>
  <c r="I9" i="2"/>
  <c r="J9" i="2" s="1"/>
  <c r="G9" i="2"/>
  <c r="K9" i="2" s="1"/>
  <c r="J8" i="2"/>
  <c r="J19" i="2" s="1"/>
  <c r="E13" i="1" s="1"/>
  <c r="I8" i="2"/>
  <c r="I19" i="2" s="1"/>
  <c r="D13" i="1" s="1"/>
  <c r="G8" i="2"/>
  <c r="I105" i="2" l="1"/>
  <c r="D20" i="1" s="1"/>
  <c r="J101" i="2"/>
  <c r="J105" i="2" s="1"/>
  <c r="E20" i="1" s="1"/>
  <c r="G105" i="2"/>
  <c r="C20" i="1" s="1"/>
  <c r="F20" i="1" s="1"/>
  <c r="K101" i="2"/>
  <c r="K105" i="2" s="1"/>
  <c r="J91" i="2"/>
  <c r="I98" i="2"/>
  <c r="D19" i="1" s="1"/>
  <c r="K83" i="2"/>
  <c r="G88" i="2"/>
  <c r="C18" i="1" s="1"/>
  <c r="I88" i="2"/>
  <c r="D18" i="1" s="1"/>
  <c r="J82" i="2"/>
  <c r="J66" i="2"/>
  <c r="J75" i="2" s="1"/>
  <c r="E17" i="1" s="1"/>
  <c r="I75" i="2"/>
  <c r="D17" i="1" s="1"/>
  <c r="G75" i="2"/>
  <c r="C17" i="1" s="1"/>
  <c r="F17" i="1" s="1"/>
  <c r="K66" i="2"/>
  <c r="J45" i="2"/>
  <c r="J61" i="2" s="1"/>
  <c r="E16" i="1" s="1"/>
  <c r="I61" i="2"/>
  <c r="D16" i="1" s="1"/>
  <c r="K45" i="2"/>
  <c r="K61" i="2" s="1"/>
  <c r="G61" i="2"/>
  <c r="C16" i="1" s="1"/>
  <c r="F16" i="1" s="1"/>
  <c r="I42" i="2"/>
  <c r="D15" i="1" s="1"/>
  <c r="J34" i="2"/>
  <c r="J42" i="2" s="1"/>
  <c r="E15" i="1" s="1"/>
  <c r="G42" i="2"/>
  <c r="C15" i="1" s="1"/>
  <c r="F15" i="1" s="1"/>
  <c r="K34" i="2"/>
  <c r="I31" i="2"/>
  <c r="D14" i="1" s="1"/>
  <c r="D22" i="1" s="1"/>
  <c r="D27" i="1" s="1"/>
  <c r="J22" i="2"/>
  <c r="J31" i="2" s="1"/>
  <c r="E14" i="1" s="1"/>
  <c r="G31" i="2"/>
  <c r="C14" i="1" s="1"/>
  <c r="K22" i="2"/>
  <c r="K8" i="2"/>
  <c r="K19" i="2" s="1"/>
  <c r="G19" i="2"/>
  <c r="C13" i="1" s="1"/>
  <c r="K72" i="2"/>
  <c r="K75" i="2"/>
  <c r="K36" i="2"/>
  <c r="K30" i="2"/>
  <c r="K28" i="2"/>
  <c r="K27" i="2"/>
  <c r="K26" i="2"/>
  <c r="K23" i="2"/>
  <c r="K85" i="2"/>
  <c r="K78" i="2"/>
  <c r="K86" i="2"/>
  <c r="K91" i="2" l="1"/>
  <c r="K98" i="2" s="1"/>
  <c r="J98" i="2"/>
  <c r="E19" i="1" s="1"/>
  <c r="F19" i="1" s="1"/>
  <c r="J88" i="2"/>
  <c r="E18" i="1" s="1"/>
  <c r="K82" i="2"/>
  <c r="K88" i="2" s="1"/>
  <c r="C22" i="1"/>
  <c r="F13" i="1"/>
  <c r="F14" i="1"/>
  <c r="K42" i="2"/>
  <c r="K31" i="2"/>
  <c r="E22" i="1" l="1"/>
  <c r="F18" i="1"/>
  <c r="F22" i="1"/>
  <c r="F24" i="1" l="1"/>
  <c r="F25" i="1"/>
  <c r="F26" i="1"/>
</calcChain>
</file>

<file path=xl/sharedStrings.xml><?xml version="1.0" encoding="utf-8"?>
<sst xmlns="http://schemas.openxmlformats.org/spreadsheetml/2006/main" count="614" uniqueCount="436">
  <si>
    <t>DR ÉLECTRIQUE INC. — SOMMAIRE D'ESTIMATION</t>
  </si>
  <si>
    <t>Bibliothèque Georgette-Lepage (Brossard) — Technologie RFID — aménagement RDC et étage</t>
  </si>
  <si>
    <t>Appel d'offres SP-GTER-26-0080 — Plans HF Experts-Conseils 26-29, émis pour AO 2026-09-16</t>
  </si>
  <si>
    <t>PARAMÈTRES</t>
  </si>
  <si>
    <t>Taux main-d'œuvre ($/h) — référence Jo</t>
  </si>
  <si>
    <t>Frais généraux / administration (%) — À FOURNIR PAR JO</t>
  </si>
  <si>
    <t>Profit (%) — À FOURNIR PAR JO</t>
  </si>
  <si>
    <t>Sous-traitance JCI/Simplex (AI) — prix à obtenir</t>
  </si>
  <si>
    <t>Sous-traitance parasismique — prix à obtenir (si incluse)</t>
  </si>
  <si>
    <t>Section</t>
  </si>
  <si>
    <t>Description</t>
  </si>
  <si>
    <t>Matériel</t>
  </si>
  <si>
    <t>Heures</t>
  </si>
  <si>
    <t>Main-d'œuvre</t>
  </si>
  <si>
    <t>Total</t>
  </si>
  <si>
    <t>A</t>
  </si>
  <si>
    <t>DÉMANTÈLEMENT / RELOCALISATION / TRAVAUX TEMPORAIRES</t>
  </si>
  <si>
    <t>B</t>
  </si>
  <si>
    <t>DISTRIBUTION / PANNEAUX</t>
  </si>
  <si>
    <t>C</t>
  </si>
  <si>
    <t>RACCORDEMENTS MÉCANIQUES</t>
  </si>
  <si>
    <t>D</t>
  </si>
  <si>
    <t>SERVICES — REZ-DE-CHAUSSÉE (E-104)</t>
  </si>
  <si>
    <t>E</t>
  </si>
  <si>
    <t>SERVICES — ÉTAGE (E-105)</t>
  </si>
  <si>
    <t>F</t>
  </si>
  <si>
    <t>ÉCLAIRAGE ET ÉCLAIRAGE D'URGENCE — RDC (E-203)</t>
  </si>
  <si>
    <t>G</t>
  </si>
  <si>
    <t>ALARME INCENDIE (travaux par l'électricien — note 4 E-201)</t>
  </si>
  <si>
    <t>H</t>
  </si>
  <si>
    <t>FRAIS DE CHANTIER / GÉNÉRAUX</t>
  </si>
  <si>
    <t>Coût direct (matériel + MO)</t>
  </si>
  <si>
    <t>Matériel conduits/filage/dispositifs (liste Lumen) + sous-traitance (JCI + parasismique)</t>
  </si>
  <si>
    <t>Frais généraux</t>
  </si>
  <si>
    <t>Profit</t>
  </si>
  <si>
    <t>PRIX TOTAL AVANT TAXES</t>
  </si>
  <si>
    <t>Jours-personne (8 h)</t>
  </si>
  <si>
    <t>NOTES</t>
  </si>
  <si>
    <t>1. Quantités relevées sur plans E-101 à E-502 (HF Experts-Conseils, émis AO 2026-09-16) — relevé préliminaire, à valider sur plans papier/échelle.</t>
  </si>
  <si>
    <t>2. Longueurs de conduits/fils = HYPOTHÈSES (30 m/course RDC, 25 m/course étage, 8 m/point éclairage) — tracé exact à valider dans l'entreplafond du niveau inférieur (note 5 E-104).</t>
  </si>
  <si>
    <t>3. Heures unitaires = estimé Léna AI (taux de productivité typiques commercial) — à valider par Jo.</t>
  </si>
  <si>
    <t>4. Prix matériel : AUCUN prix inscrit — à obtenir (Guillevin / Westburne / Nedco / Wesco), prix réguliers.</t>
  </si>
  <si>
    <t>5. Marges (FG + profit) : non assumées — à inscrire par Jo en C7/C8.</t>
  </si>
  <si>
    <t>6. Contradictions relevées : UTA-1 disj. 40A (E-502) vs MOCP 35A (E-009); câblage data devis 36.1 vs « réutiliser câble existant » (E-104); schéma AI montre 2 détecteurs neufs à l'étage, plans montrent 2 neufs au RDC (plans prévalent).</t>
  </si>
  <si>
    <t>DR ÉLECTRIQUE INC. — ESTIMATION DÉTAILLÉE (interne)</t>
  </si>
  <si>
    <t>Cellules JAUNES = à remplir par Jo (prix matériel). Heures = estimé Léna AI à valider. Taux MO lié au Sommaire.</t>
  </si>
  <si>
    <t>Code</t>
  </si>
  <si>
    <t>Réf. plan</t>
  </si>
  <si>
    <t>Qté</t>
  </si>
  <si>
    <t>Unité</t>
  </si>
  <si>
    <t>Prix mat. unit.</t>
  </si>
  <si>
    <t>Total mat.</t>
  </si>
  <si>
    <t>h / unité</t>
  </si>
  <si>
    <t>Total h</t>
  </si>
  <si>
    <t>Total MO</t>
  </si>
  <si>
    <t>Total ligne</t>
  </si>
  <si>
    <t>Notes / source quantité</t>
  </si>
  <si>
    <t>A-01</t>
  </si>
  <si>
    <t>Démantèlement luminaires existants RDC (E.A.E) — retirer alimentation jusqu'à la boîte/panneau</t>
  </si>
  <si>
    <t>E-201</t>
  </si>
  <si>
    <t>u</t>
  </si>
  <si>
    <t>Compte des étiquettes E.A.E sur E-201</t>
  </si>
  <si>
    <t>A-02</t>
  </si>
  <si>
    <t>Démantèlement luminaires existants 2e (E.A.E)</t>
  </si>
  <si>
    <t>E-202</t>
  </si>
  <si>
    <t>Compte E.A.E E-202</t>
  </si>
  <si>
    <t>A-03</t>
  </si>
  <si>
    <t>Démantèlement services RDC (prises, boîtes mobilier, câbles sortant du plancher) E.A.E</t>
  </si>
  <si>
    <t>E-101</t>
  </si>
  <si>
    <t>Compte E.A.E E-101</t>
  </si>
  <si>
    <t>A-04</t>
  </si>
  <si>
    <t>Démantèlement services 2e (E.A.E)</t>
  </si>
  <si>
    <t>E-102</t>
  </si>
  <si>
    <t>Compte E.A.E E-102</t>
  </si>
  <si>
    <t>A-05</t>
  </si>
  <si>
    <t>Relocalisation équipements services (E.A.R) RDC + 2e</t>
  </si>
  <si>
    <t>E-101/E-102</t>
  </si>
  <si>
    <t>6 RDC + 7 2e</t>
  </si>
  <si>
    <t>A-06</t>
  </si>
  <si>
    <t>Relocalisation luminaires (E.A.R) RDC + 2e (incl. 4 appareils salle 227)</t>
  </si>
  <si>
    <t>E-201/E-202</t>
  </si>
  <si>
    <t>3 RDC + 4 2e</t>
  </si>
  <si>
    <t>A-07</t>
  </si>
  <si>
    <t>Relocalisation interrupteurs maîtres du hall (note spécifique 1 E-201)</t>
  </si>
  <si>
    <t>lot</t>
  </si>
  <si>
    <t>Hypothèse 6 h — à valider</t>
  </si>
  <si>
    <t>A-08</t>
  </si>
  <si>
    <t>FabLab 210 : retrait temporaire + réinstallation luminaires linéaires existants</t>
  </si>
  <si>
    <t>E-202 note 1</t>
  </si>
  <si>
    <t>Comptés sur plan</t>
  </si>
  <si>
    <t>A-09</t>
  </si>
  <si>
    <t>FabLab 210 : retrait temporaire + réinstallation encastrés existants</t>
  </si>
  <si>
    <t>Comptés sur plan (±2)</t>
  </si>
  <si>
    <t>A-10</t>
  </si>
  <si>
    <t>Toit : débrancher, entreposer sectionneurs, isoler/couvrir câbles, rebrancher équipements de ventilation (E.A.R)</t>
  </si>
  <si>
    <t>E-103/E-106 note 2</t>
  </si>
  <si>
    <t>6 E.A.R sur E-103</t>
  </si>
  <si>
    <t>A-11</t>
  </si>
  <si>
    <t>Maintien continuité de service, recherche/traçage circuits existants, réalimentation circuits libérés</t>
  </si>
  <si>
    <t>Notes 1.16 / 5-6</t>
  </si>
  <si>
    <t>Hypothèse</t>
  </si>
  <si>
    <t>Sous-total section A</t>
  </si>
  <si>
    <t>B-01</t>
  </si>
  <si>
    <t>Panneau PP-3 NEUF 225A 347/600V 3Ø 4F 42 cct 14kA, type NF Schneider, surface — remplacement de l'existant (note 2 E-006)</t>
  </si>
  <si>
    <t>E-006/E-502</t>
  </si>
  <si>
    <t>Incl. démantèlement ancien PP-3 + transfert charges</t>
  </si>
  <si>
    <t>B-02</t>
  </si>
  <si>
    <t>Disjoncteurs NF 1P-15A pour circuits existants transférés dans PP-3</t>
  </si>
  <si>
    <t>E-502</t>
  </si>
  <si>
    <t>Cct 1-11, 2-12, 14 (PR-2), 16</t>
  </si>
  <si>
    <t>B-03</t>
  </si>
  <si>
    <t>Disjoncteur NF 3P-20A (aérotherme, cct 13-15-17) transféré</t>
  </si>
  <si>
    <t>B-04</t>
  </si>
  <si>
    <t>Disjoncteur NF 3P-40A — UTA-1 (cct 18-20-22) NOUVEAU</t>
  </si>
  <si>
    <t>Note : tableau méca indique MOCP 35A — à clarifier ingénieur</t>
  </si>
  <si>
    <t>B-05</t>
  </si>
  <si>
    <t>Disjoncteur NF 3P-15A — VE-2N (cct 19-21-23) NOUVEAU</t>
  </si>
  <si>
    <t>B-06</t>
  </si>
  <si>
    <t>Disjoncteur 1P-15A DDFT — Fontaine P2-61 (note 4)</t>
  </si>
  <si>
    <t>B-07</t>
  </si>
  <si>
    <t>Disjoncteurs 1P-15A — P2-63 bornes prêts hall, P2-64 prises bibliothèque (note 4)</t>
  </si>
  <si>
    <t>B-08</t>
  </si>
  <si>
    <t>Disjoncteurs 1P-20A — P3-17/19 machine de tri (note 4)</t>
  </si>
  <si>
    <t>B-09</t>
  </si>
  <si>
    <t>Mise à jour fiches dactylographiées + identification (PP-2, PP-3, P2, P3, P4, P6, PU-1, PPU-1, P10)</t>
  </si>
  <si>
    <t>Devis 12.3</t>
  </si>
  <si>
    <t>Sous-total section B</t>
  </si>
  <si>
    <t>C-01</t>
  </si>
  <si>
    <t>UTA-01 York KE036 575V/3Ø (MCA 32.9A) au toit — conduit EMT 1" + RW90 4 #8 (3+MALT) de PP-3 (salle méc. étage), pénétration toit, raccord LFMC — sectionneur d'usine</t>
  </si>
  <si>
    <t>E-106/E-009</t>
  </si>
  <si>
    <t>Longueur estimée 35 m (C-05/C-06)</t>
  </si>
  <si>
    <t>C-02</t>
  </si>
  <si>
    <t>VE-02N Plymovent FUA-2700 1.5HP 575V/3Ø c/a VFD au toit — conduit EMT 3/4" + RW90 4 #12, raccord LFMC — sectionneur d'usine</t>
  </si>
  <si>
    <t>Longueur estimée 35 m</t>
  </si>
  <si>
    <t>C-03</t>
  </si>
  <si>
    <t>Chaudières CH-01 / CH-02 De Dietrich 600V/3Ø — vérifier et réutiliser tiroirs CCM-1 F15A + câbles existants, raccord final LFMC</t>
  </si>
  <si>
    <t>E-006 note 1 / E-105</t>
  </si>
  <si>
    <t>Réutilisation selon état — à vérifier</t>
  </si>
  <si>
    <t>C-04</t>
  </si>
  <si>
    <t>Humidificateurs HUM-1/2/3 Carel 120V/1Ø — sectionneur sans fusible 30A 1Ø + conduit EMT 3/4" 3 #12 (P4-19, P4-21) + raccord LFMC</t>
  </si>
  <si>
    <t>E-105/E-009</t>
  </si>
  <si>
    <t>15 m chacun estimé</t>
  </si>
  <si>
    <t>C-05</t>
  </si>
  <si>
    <t>Conduit EMT 1" (alim. UTA-01) incl. supports</t>
  </si>
  <si>
    <t>E-106</t>
  </si>
  <si>
    <t>m</t>
  </si>
  <si>
    <t>Hypothèse longueur</t>
  </si>
  <si>
    <t>C-06</t>
  </si>
  <si>
    <t>Conducteur RW90 #8 Cu (UTA-01)</t>
  </si>
  <si>
    <t>4 x 35 m</t>
  </si>
  <si>
    <t>C-07</t>
  </si>
  <si>
    <t>Conduit EMT 3/4" (VE-02N + HUM)</t>
  </si>
  <si>
    <t>E-105/E-106</t>
  </si>
  <si>
    <t>35 m + 3 x 15 m</t>
  </si>
  <si>
    <t>C-08</t>
  </si>
  <si>
    <t>Conducteur RW90 #12 Cu (VE-02N + HUM)</t>
  </si>
  <si>
    <t>4x35 + 3x(3x15)</t>
  </si>
  <si>
    <t>Sous-total section C</t>
  </si>
  <si>
    <t>D-01</t>
  </si>
  <si>
    <t>Poste de travail intégré mobilier (notes 1-2) : boîte de jonction, 1 prise double 15A + 1 prise double 20A Decora, boîte data 2 RJ45 (plaque seulement), raccord câbles réutilisés</t>
  </si>
  <si>
    <t>E-104</t>
  </si>
  <si>
    <t>poste</t>
  </si>
  <si>
    <t>110.13/14:3, Doc 110.1:4, 110.7:2, 110.8:4, 116:2, aire centrale:3</t>
  </si>
  <si>
    <t>D-02</t>
  </si>
  <si>
    <t>Table c/a boîte d'électrification (note 4) : 2 prises doubles + 2 prises USB Leviton Decora</t>
  </si>
  <si>
    <t>115:3, aire centrale:2</t>
  </si>
  <si>
    <t>D-03</t>
  </si>
  <si>
    <t>Cabine/isoloir : prise double alimentée par JB dans mur</t>
  </si>
  <si>
    <t>P-2 20</t>
  </si>
  <si>
    <t>D-04</t>
  </si>
  <si>
    <t>Écran sur mur/colonne — boîte courant + données</t>
  </si>
  <si>
    <t>115 + colonne aire centrale</t>
  </si>
  <si>
    <t>D-05</t>
  </si>
  <si>
    <t>Kiosque TV (P-2 6) — prise + data</t>
  </si>
  <si>
    <t>D-06</t>
  </si>
  <si>
    <t>Prise double murale/colonne NEUVE (P-3 2, 3, 10, 12, 34 x2, 35 + P-2 11)</t>
  </si>
  <si>
    <t>D-07</t>
  </si>
  <si>
    <t>Prise DDFT 15A fontaine (P2-61)</t>
  </si>
  <si>
    <t>D-08</t>
  </si>
  <si>
    <t>Sortie data murale/colonne : boîte + conduit 3/4" vers entreplafond + corde de tirage</t>
  </si>
  <si>
    <t>Câble data : voir option</t>
  </si>
  <si>
    <t>D-09</t>
  </si>
  <si>
    <t>Barrière anti-vol : 2 boîtes de jonction + raccord panneau de contrôle (PU-1 23)</t>
  </si>
  <si>
    <t>D-10</t>
  </si>
  <si>
    <t>Bornes de prêts / fontaine hall (P2-63, note 2) — JB dans mur adjacent</t>
  </si>
  <si>
    <t>D-11</t>
  </si>
  <si>
    <t>Bouton d'appel — boîte + conduit vide (système fourni par d'autres)</t>
  </si>
  <si>
    <t>Aide au lecteur 116</t>
  </si>
  <si>
    <t>D-12</t>
  </si>
  <si>
    <t>Percement de dalle carotté + coupe-feu (CAN/ULC-S115, Hilti CP-506) — conduits sous dalle (note 5)</t>
  </si>
  <si>
    <t>E-104 note 5 / devis 1.5, 18</t>
  </si>
  <si>
    <t>1 percement par course</t>
  </si>
  <si>
    <t>D-13</t>
  </si>
  <si>
    <t>Conduit EMT 1" sous dalle / entreplafond sous-sol vers panneaux P-2/P-3 (16 courses)</t>
  </si>
  <si>
    <t>E-104 note 5</t>
  </si>
  <si>
    <t>Hyp. 30 m/course</t>
  </si>
  <si>
    <t>D-14</t>
  </si>
  <si>
    <t>Conduit EMT 3/4" data sous dalle (11 courses)</t>
  </si>
  <si>
    <t>D-15</t>
  </si>
  <si>
    <t>Conducteur RW90 #12 Cu (5 cond./course : 2 circuits + MALT) — prévoir #10 si chute &gt; 3 %</t>
  </si>
  <si>
    <t>E-104 note 6</t>
  </si>
  <si>
    <t>16 x 30 m x 5</t>
  </si>
  <si>
    <t>D-16</t>
  </si>
  <si>
    <t>Boîtes de tirage/jonction, connecteurs, supports, corde de tirage — conduits sous dalle</t>
  </si>
  <si>
    <t>Sous-total section D</t>
  </si>
  <si>
    <t>E-01</t>
  </si>
  <si>
    <t>Poste de travail aide au lecteur 227 (P-6 5 / P-4 7) : JB, 2 prises, data 2 RJ45</t>
  </si>
  <si>
    <t>E-105</t>
  </si>
  <si>
    <t>E-02</t>
  </si>
  <si>
    <t>Monument de plancher Hubbell S1R6PTFIT (ou équiv.) : prise 20A + 2 RJ45 — tables</t>
  </si>
  <si>
    <t>E-104 note 3 / E-105</t>
  </si>
  <si>
    <t>P-4 17, P4-15</t>
  </si>
  <si>
    <t>E-03</t>
  </si>
  <si>
    <t>Boîte de plancher refaite (salle 208, ancien mobilier — note 1 E-102)</t>
  </si>
  <si>
    <t>E-102/E-105</t>
  </si>
  <si>
    <t>P-6 25 / P-6 38 — à confirmer</t>
  </si>
  <si>
    <t>E-04</t>
  </si>
  <si>
    <t>Cabines/salles (P-4 12, 10, 10) : JB + prise</t>
  </si>
  <si>
    <t>E-05</t>
  </si>
  <si>
    <t>Écran sur colonne — courant + données (P-6 12)</t>
  </si>
  <si>
    <t>E-06</t>
  </si>
  <si>
    <t>Bouton d'appel (2) + bouton de panique (1) — boîte + conduit vide</t>
  </si>
  <si>
    <t>E-07</t>
  </si>
  <si>
    <t>Percement de dalle carotté + coupe-feu (7 courses)</t>
  </si>
  <si>
    <t>E-105 note 3</t>
  </si>
  <si>
    <t>E-08</t>
  </si>
  <si>
    <t>Conduit EMT 1" sous dalle (7 courses) vers P-4/P-6</t>
  </si>
  <si>
    <t>Hyp. 25 m/course</t>
  </si>
  <si>
    <t>E-09</t>
  </si>
  <si>
    <t>Conduit EMT 3/4" data sous dalle (7 courses)</t>
  </si>
  <si>
    <t>E-10</t>
  </si>
  <si>
    <t>Conducteur RW90 #12 Cu (5 cond./course)</t>
  </si>
  <si>
    <t>7 x 25 m x 5</t>
  </si>
  <si>
    <t>E-11</t>
  </si>
  <si>
    <t>Boîtes, connecteurs, supports — étage</t>
  </si>
  <si>
    <t>Sous-total section E</t>
  </si>
  <si>
    <t>F-01</t>
  </si>
  <si>
    <t>Luminaire A1 — Cooper 24CGTS-NUV-MEDIUM-3500K, 2'x4' encastré, 347V, 50W</t>
  </si>
  <si>
    <t>E-203/E-008</t>
  </si>
  <si>
    <t>Dont 3 sur circuit PP-U1</t>
  </si>
  <si>
    <t>F-02</t>
  </si>
  <si>
    <t>Luminaire C1 — Axis AXIS-SL1-4-SO-500-90HE-35 (module 4'), 120-277V, susp./surface</t>
  </si>
  <si>
    <t>F-03</t>
  </si>
  <si>
    <t>Luminaire C1_1 — Axis AXIS-SL1-1 (module 1')</t>
  </si>
  <si>
    <t>F-04</t>
  </si>
  <si>
    <t>Luminaire C1_3 — Axis AXIS-SL1-3 (module 3')</t>
  </si>
  <si>
    <t>F-05</t>
  </si>
  <si>
    <t>Rangées linéaires Axis : suspension aux tiges/câbles fixés à la dalle (devis 16.5), alimentation de rangée</t>
  </si>
  <si>
    <t>E-203 / devis 16.5</t>
  </si>
  <si>
    <t>rangée</t>
  </si>
  <si>
    <t>≈20 rangées continues</t>
  </si>
  <si>
    <t>F-06</t>
  </si>
  <si>
    <t>Luminaire E — GreenCreative PXCYL-8-PM-LE05-90-35 cylindre suspendu, 55.3W</t>
  </si>
  <si>
    <t>F-07</t>
  </si>
  <si>
    <t>Enseigne de sortie Z6 — Stanpro RMSOWH-UDC, 120-347V, 3W (pictogramme)</t>
  </si>
  <si>
    <t>Symboles noirs (neufs)</t>
  </si>
  <si>
    <t>F-08</t>
  </si>
  <si>
    <t>Conduit EMT 3/4" + flexible — raccordement luminaires sur circuits existants réutilisés (note 5)</t>
  </si>
  <si>
    <t>E-203</t>
  </si>
  <si>
    <t>Hyp. 8 m x 35 points</t>
  </si>
  <si>
    <t>F-09</t>
  </si>
  <si>
    <t>Conducteur RW90 #12 Cu éclairage (3 cond.)</t>
  </si>
  <si>
    <t>F-10</t>
  </si>
  <si>
    <t>Boîtes de jonction éclairage, chaînes de retenue à la dalle (devis 16.5), quincaillerie</t>
  </si>
  <si>
    <t>E-005</t>
  </si>
  <si>
    <t>Sous-total section F</t>
  </si>
  <si>
    <t>G-01</t>
  </si>
  <si>
    <t>Détecteur de fumée adressable compatible Simplex 4007ES + base (fourni par JCI/Simplex)</t>
  </si>
  <si>
    <t>Symboles noirs : salle de tri + secteur 110.8</t>
  </si>
  <si>
    <t>G-02</t>
  </si>
  <si>
    <t>Conduit EMT 3/4" boucle AI</t>
  </si>
  <si>
    <t>Hyp.</t>
  </si>
  <si>
    <t>G-03</t>
  </si>
  <si>
    <t>Câble AI FT4 2c #16 rouge (boucle adressable)</t>
  </si>
  <si>
    <t>G-04</t>
  </si>
  <si>
    <t>Relocalisation panneau annonciateur Simplex — réutiliser câbles, rallonger au besoin (note 1 E-007)</t>
  </si>
  <si>
    <t>E-007</t>
  </si>
  <si>
    <t>Nouvel emplacement à confirmer</t>
  </si>
  <si>
    <t>G-05</t>
  </si>
  <si>
    <t>Démontage/protection/réinstallation dispositifs AI existants dans zones touchées</t>
  </si>
  <si>
    <t>E-201/E-203</t>
  </si>
  <si>
    <t>Allocation — à valider</t>
  </si>
  <si>
    <t>G-06</t>
  </si>
  <si>
    <t>Assistance électricien lors de la programmation / vérification ULC-S537</t>
  </si>
  <si>
    <t>E-007 note 3</t>
  </si>
  <si>
    <t>G-07</t>
  </si>
  <si>
    <t>Sous-traitance JCI/Simplex : bypass durée des travaux, programmation 4007ES, vérification partielle CAN/ULC-S537, certificat de conformité</t>
  </si>
  <si>
    <t>E-007 notes 2-3</t>
  </si>
  <si>
    <t>PRIX À OBTENIR DE JCI — inscrire en matériel/s-t</t>
  </si>
  <si>
    <t>Sous-total section G</t>
  </si>
  <si>
    <t>H-01</t>
  </si>
  <si>
    <t>Mobilisation / démobilisation, outillage, plateforme/échafaudage roulant</t>
  </si>
  <si>
    <t>H-02</t>
  </si>
  <si>
    <t>Coordination EG / multi-corps, dessins d'atelier, plans tel que construit</t>
  </si>
  <si>
    <t>Devis 1.11-1.13</t>
  </si>
  <si>
    <t>H-03</t>
  </si>
  <si>
    <t>Essais, mise en service, vérification prises existantes (note 3), étiquetage</t>
  </si>
  <si>
    <t>Devis 1.11 / note 3</t>
  </si>
  <si>
    <t>H-04</t>
  </si>
  <si>
    <t>Nettoyage, gestion des déchets (devis 5, 9.3)</t>
  </si>
  <si>
    <t>Sous-total section H</t>
  </si>
  <si>
    <t>OPT</t>
  </si>
  <si>
    <t>OPTIONS / À CLARIFIER (hors total)</t>
  </si>
  <si>
    <t>OPT-1</t>
  </si>
  <si>
    <t>Câblage data Cat6 jusqu'à la salle des serveurs (devis 36.1) — vs plans « réutiliser câble data existant » : CONTRADICTION à clarifier</t>
  </si>
  <si>
    <t>Devis 36.1 / E-104 note 2</t>
  </si>
  <si>
    <t>Nb de sorties RJ45 ≈ 2 x postes + sorties murales</t>
  </si>
  <si>
    <t>OPT-2</t>
  </si>
  <si>
    <t>Conception parasismique par firme spécialisée + certificat (devis 16.2-16.6)</t>
  </si>
  <si>
    <t>Devis 16</t>
  </si>
  <si>
    <t>Prix sous-traitant à obtenir</t>
  </si>
  <si>
    <t>OPT-3</t>
  </si>
  <si>
    <t>Prime travaux hors heures normales (devis 1.17)</t>
  </si>
  <si>
    <t>Devis 1.17</t>
  </si>
  <si>
    <t>h</t>
  </si>
  <si>
    <t>Ratio à fixer par Jo</t>
  </si>
  <si>
    <t>OPT-4</t>
  </si>
  <si>
    <t>Postes de travail temporaires (A-102) + chute à livres temporaire — besoins électriques non montrés aux plans E</t>
  </si>
  <si>
    <t>A-102</t>
  </si>
  <si>
    <t>Demander précision à l'architecte</t>
  </si>
  <si>
    <t>LISTE DE MATÉRIEL — CONDUITS / FILAGE / BOÎTES / DISPOSITIFS</t>
  </si>
  <si>
    <t>Prix Lumen — compte LE GROUPE DR ÉLECTRIQUE INC (4417250), succ. Anjou, relevés sur lumen.ca le 2026-10-07 (prix réguliers du compte, aucun prix promo)</t>
  </si>
  <si>
    <t>EXCLUS de cette liste (demandes de prix séparées) : luminaires + urgence, dispositifs AI Simplex, panneau PP-3 + disjoncteurs NF Schneider (non offerts en ligne chez Lumen), disjoncteurs P2/P3 (marque à confirmer).</t>
  </si>
  <si>
    <t>Code Lumen</t>
  </si>
  <si>
    <t>Prix unit.</t>
  </si>
  <si>
    <t>Base de quantité</t>
  </si>
  <si>
    <t>CONDUITS ET ACCESSOIRES</t>
  </si>
  <si>
    <t>CONEMT1</t>
  </si>
  <si>
    <t>COLUMBIA 1 PO CONDUIT TME 10PI 734637</t>
  </si>
  <si>
    <t>pi</t>
  </si>
  <si>
    <t>690 m (C-05 35 + D-13 480 + E-08 175)</t>
  </si>
  <si>
    <t>CONEMT3/4</t>
  </si>
  <si>
    <t>COLUMBIA 3/4 PO CONDUIT TME 10PI 734631</t>
  </si>
  <si>
    <t>895 m (C-07 80 + D-14 330 + E-09 175 + F-08 280 + G-02 30)</t>
  </si>
  <si>
    <t>APPTWC100S</t>
  </si>
  <si>
    <t>ABB CI5508 ACCOUPL TME 1PO VIS ACIER</t>
  </si>
  <si>
    <t>ch</t>
  </si>
  <si>
    <t>1 / 10 pi</t>
  </si>
  <si>
    <t>APPTWC75S</t>
  </si>
  <si>
    <t>ABB CI5506 ACCOUPL TME 3/4PO VIS ACIER</t>
  </si>
  <si>
    <t>APPTW100S</t>
  </si>
  <si>
    <t>ABB Iberville 1 PO CONN TME VIS ACIER CI5408</t>
  </si>
  <si>
    <t>24 courses x 4</t>
  </si>
  <si>
    <t>APPTW75S</t>
  </si>
  <si>
    <t>ABB Iberville 3/4 PO CONN TME VIS ACIER CI5406</t>
  </si>
  <si>
    <t>≈70 courses x 4</t>
  </si>
  <si>
    <t>APPTWCL100</t>
  </si>
  <si>
    <t>ABB Iberville 1 PO COURR TME 1 TROU ACIER</t>
  </si>
  <si>
    <t>1 / 1,5 m (devis 15.1)</t>
  </si>
  <si>
    <t>APPTWCL75</t>
  </si>
  <si>
    <t>ABB Iberville 3/4 PO COURR TME 1 TROU ACIER CI1306</t>
  </si>
  <si>
    <t>1 / 1,5 m</t>
  </si>
  <si>
    <t>CONCONSEAL3/4</t>
  </si>
  <si>
    <t>COLUMBIA Hydrotite 3/4 PO COND FLEX ÉTANCHE</t>
  </si>
  <si>
    <t>UTA, VE-02N, HUM x3, CH x2</t>
  </si>
  <si>
    <t>THO5333</t>
  </si>
  <si>
    <t>ABB 3/4 PO CONN CONSEAL ISOLÉ 5333</t>
  </si>
  <si>
    <t>THOABRH03830</t>
  </si>
  <si>
    <t>ABB 3/8 PO COND FLEX ALUM ABRH038-30</t>
  </si>
  <si>
    <t>35 points éclairage x 1,8 m</t>
  </si>
  <si>
    <t>IBE2210</t>
  </si>
  <si>
    <t>ABB Iberville 3/8 PO CONN BX 90D 2 VIS</t>
  </si>
  <si>
    <t>GRE430</t>
  </si>
  <si>
    <t>Corde de tirage Poly Line 430 - 6500 pi</t>
  </si>
  <si>
    <t>Conduits vides (devis 35.10)</t>
  </si>
  <si>
    <t>BOÎTES</t>
  </si>
  <si>
    <t>IBE52151K</t>
  </si>
  <si>
    <t>ABB BC52151-K BOÎTE CARRÉE 4 PO 1-1/2PO</t>
  </si>
  <si>
    <t>Prises, data, JB postes, boutons, barrières</t>
  </si>
  <si>
    <t>IBE52C13</t>
  </si>
  <si>
    <t>IBERVILLE Couvercle carré 1 unité 1/2 PO surélevé</t>
  </si>
  <si>
    <t>IBE72171K</t>
  </si>
  <si>
    <t>IBERVILLE Boîte carrée 4-11/16 PO</t>
  </si>
  <si>
    <t>Tirage : 23 courses sous dalle x 2</t>
  </si>
  <si>
    <t>IBE72C1</t>
  </si>
  <si>
    <t>ABB BC72-C-1 COUV CARRÉ 4-11/16 PO PLAT</t>
  </si>
  <si>
    <t>IBE54151L</t>
  </si>
  <si>
    <t>IBERVILLE Boîte octogonale 4 PO 1-1/2 PO</t>
  </si>
  <si>
    <t>JB éclairage</t>
  </si>
  <si>
    <t>FILS ET CÂBLES</t>
  </si>
  <si>
    <t>CAB12/1RW90BLK300</t>
  </si>
  <si>
    <t>RW90 #12 solide Cu NOIR (bobine 300 m)</t>
  </si>
  <si>
    <t>Total #12 = 4 390 m (C-08 275 + D-15 2400 + E-10 875 + F-09 840)</t>
  </si>
  <si>
    <t>CAB12/1RW90WHI300</t>
  </si>
  <si>
    <t>RW90 #12 solide Cu BLANC (bobine 300 m)</t>
  </si>
  <si>
    <t>CAB12/1RW90GRE300</t>
  </si>
  <si>
    <t>RW90 #12 solide Cu VERT (bobine 300 m)</t>
  </si>
  <si>
    <t>CAB12/1RW90 ROUGE</t>
  </si>
  <si>
    <t>RW90 #12 solide Cu ROUGE — même prix que noir (à confirmer code)</t>
  </si>
  <si>
    <t>Code exact à confirmer</t>
  </si>
  <si>
    <t>CAB8RW90BLK</t>
  </si>
  <si>
    <t>SONECABLE 8(7) RW90 BLK (UTA-01)</t>
  </si>
  <si>
    <t>3 phases x 35 m — prévoir rouge/bleu</t>
  </si>
  <si>
    <t>CAB8RW90GRE</t>
  </si>
  <si>
    <t>SONECABLE 8(7) RW90 GRE (MALT UTA-01)</t>
  </si>
  <si>
    <t>CAB12TECK3C600V</t>
  </si>
  <si>
    <t>SONECABLE TECK90 3C #12 600V (chaudières)</t>
  </si>
  <si>
    <t>IBETEK75120</t>
  </si>
  <si>
    <t>ABB Star Teck 3/4 PO CONN TECK</t>
  </si>
  <si>
    <t>Plage à confirmer selon DE du câble</t>
  </si>
  <si>
    <t>CAB16/2FAFT4300</t>
  </si>
  <si>
    <t>SONECABLE 16/2 FA FT4 (alarme incendie)</t>
  </si>
  <si>
    <t>DISPOSITIFS</t>
  </si>
  <si>
    <t>LEV16252W</t>
  </si>
  <si>
    <t>LEVITON 16252-W PRISE DÉCORA 15A 125V usage commercial</t>
  </si>
  <si>
    <t>Postes 20, tables 10, cabines 5, écrans 3, kiosque 1, murales 8</t>
  </si>
  <si>
    <t>LEV16352W</t>
  </si>
  <si>
    <t>LEVITON 16352-W PRISE DÉCORA 20A 125V usage commercial</t>
  </si>
  <si>
    <t>Postes</t>
  </si>
  <si>
    <t>LEVT5633W</t>
  </si>
  <si>
    <t>LEVITON T5633-W PRISE + CHARGEUR USB A/C</t>
  </si>
  <si>
    <t>Tables note 4 (2/table) — vérifier 5,1 A</t>
  </si>
  <si>
    <t>LEVGFNT1W</t>
  </si>
  <si>
    <t>LEVITON GFNT1-W PRISE DDFT 15A</t>
  </si>
  <si>
    <t>Fontaine</t>
  </si>
  <si>
    <t>LEV80401NW</t>
  </si>
  <si>
    <t>LEVITON 80401-NW PLAQUE DÉCORA 1G NYLON BLANC</t>
  </si>
  <si>
    <t>HUBS1R6PTDEHBLK</t>
  </si>
  <si>
    <t>HUBBELL S1R6PTDEHBLK POKE-THROUGH 6 PO (plan : S1R6PTFIT)</t>
  </si>
  <si>
    <t>Modèle exact S1R6PTFIT à confirmer</t>
  </si>
  <si>
    <t>HUBHBL1372</t>
  </si>
  <si>
    <t>HUBBELL HBL1372 SECTIONNEUR 30A 2P (HUM-1/2/3)</t>
  </si>
  <si>
    <t>Devis 20 : service intensif — à valider</t>
  </si>
  <si>
    <t>QUINCAILLERIE / COUPE-FEU</t>
  </si>
  <si>
    <t>TROCP25WB+10.1OZ</t>
  </si>
  <si>
    <t>3M CP25WB+ COUPE-FEU TUBE 10,1 OZ</t>
  </si>
  <si>
    <t>23 percements + extras</t>
  </si>
  <si>
    <t>VISTF3/8</t>
  </si>
  <si>
    <t>ABB TIGE FILETÉE 3/8 PO</t>
  </si>
  <si>
    <t>Suspension luminaires à la dalle (devis 16.5)</t>
  </si>
  <si>
    <t>VISDIA3/816BX50</t>
  </si>
  <si>
    <t>USCAN ANCRAGE DROP-IN 3/8-16 (pqt 50)</t>
  </si>
  <si>
    <t>pk</t>
  </si>
  <si>
    <t>IDE30452</t>
  </si>
  <si>
    <t>IDEAL 30-452 MARRETTES (paquet)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</si>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</sst>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 $&quot;;\(#,##0.00&quot; $)&quot;;\-"/>
    <numFmt numFmtId="165" formatCode="0.0%"/>
    <numFmt numFmtId="166" formatCode="0.00;\(0.00\);\-"/>
    <numFmt numFmtId="167" formatCode="#,##0.0000&quot; $&quot;"/>
  </numFmts>
  <fonts count="12" x14ac:knownFonts="1">
    <font>
      <sz val="11"/>
      <color theme="1"/>
      <name val="Calibri"/>
      <family val="2"/>
      <charset val="1"/>
    </font>
    <font>
      <b/>
      <sz val="14"/>
      <color rgb="FF6B1A1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2"/>
      <color rgb="FF6B1A1A"/>
      <name val="Arial"/>
      <charset val="1"/>
    </font>
    <font>
      <sz val="9"/>
      <name val="Arial"/>
      <charset val="1"/>
    </font>
    <font>
      <i/>
      <sz val="9"/>
      <color rgb="FFC00000"/>
      <name val="Arial"/>
      <charset val="1"/>
    </font>
    <font>
      <i/>
      <sz val="9"/>
      <name val="Arial"/>
      <charset val="1"/>
    </font>
    <font>
      <sz val="9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B1A1A"/>
        <bgColor rgb="FF800000"/>
      </patternFill>
    </fill>
    <fill>
      <patternFill patternType="solid">
        <fgColor rgb="FFF5E6E6"/>
        <bgColor rgb="FFF2F2F2"/>
      </patternFill>
    </fill>
    <fill>
      <patternFill patternType="solid">
        <fgColor rgb="FFF2F2F2"/>
        <bgColor rgb="FFF5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164" fontId="4" fillId="0" borderId="1" xfId="0" applyNumberFormat="1" applyFont="1" applyBorder="1"/>
    <xf numFmtId="165" fontId="0" fillId="2" borderId="1" xfId="0" applyNumberFormat="1" applyFill="1" applyBorder="1"/>
    <xf numFmtId="164" fontId="0" fillId="2" borderId="1" xfId="0" applyNumberFormat="1" applyFill="1" applyBorder="1"/>
    <xf numFmtId="0" fontId="5" fillId="3" borderId="1" xfId="0" applyFont="1" applyFill="1" applyBorder="1" applyAlignment="1">
      <alignment horizontal="center"/>
    </xf>
    <xf numFmtId="164" fontId="6" fillId="0" borderId="1" xfId="0" applyNumberFormat="1" applyFont="1" applyBorder="1"/>
    <xf numFmtId="166" fontId="6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6" fontId="2" fillId="0" borderId="1" xfId="0" applyNumberFormat="1" applyFont="1" applyBorder="1"/>
    <xf numFmtId="0" fontId="2" fillId="4" borderId="1" xfId="0" applyFont="1" applyFill="1" applyBorder="1"/>
    <xf numFmtId="164" fontId="7" fillId="4" borderId="1" xfId="0" applyNumberFormat="1" applyFont="1" applyFill="1" applyBorder="1"/>
    <xf numFmtId="0" fontId="9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164" fontId="3" fillId="2" borderId="1" xfId="0" applyNumberFormat="1" applyFont="1" applyFill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166" fontId="4" fillId="0" borderId="1" xfId="0" applyNumberFormat="1" applyFont="1" applyBorder="1" applyAlignment="1">
      <alignment vertical="top"/>
    </xf>
    <xf numFmtId="166" fontId="3" fillId="0" borderId="1" xfId="0" applyNumberFormat="1" applyFont="1" applyBorder="1" applyAlignment="1">
      <alignment vertical="top"/>
    </xf>
    <xf numFmtId="0" fontId="0" fillId="5" borderId="1" xfId="0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6" fontId="2" fillId="5" borderId="1" xfId="0" applyNumberFormat="1" applyFont="1" applyFill="1" applyBorder="1"/>
    <xf numFmtId="0" fontId="2" fillId="4" borderId="0" xfId="0" applyFont="1" applyFill="1"/>
    <xf numFmtId="0" fontId="0" fillId="4" borderId="0" xfId="0" applyFill="1"/>
    <xf numFmtId="0" fontId="10" fillId="0" borderId="0" xfId="0" applyFont="1"/>
    <xf numFmtId="0" fontId="11" fillId="0" borderId="0" xfId="0" applyFont="1"/>
    <xf numFmtId="167" fontId="4" fillId="0" borderId="1" xfId="0" applyNumberFormat="1" applyFont="1" applyBorder="1" applyAlignment="1">
      <alignment vertical="top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6B1A1A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5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Normal="100" workbookViewId="0"/>
  </sheetViews>
  <sheetFormatPr baseColWidth="10" defaultColWidth="8.69140625" defaultRowHeight="14.6" x14ac:dyDescent="0.4"/>
  <cols>
    <col min="1" max="1" width="8" customWidth="1"/>
    <col min="2" max="2" width="58" customWidth="1"/>
    <col min="3" max="6" width="16" customWidth="1"/>
  </cols>
  <sheetData>
    <row r="1" spans="1:6" ht="17.600000000000001" x14ac:dyDescent="0.4">
      <c r="A1" s="2" t="s">
        <v>0</v>
      </c>
    </row>
    <row r="2" spans="1:6" x14ac:dyDescent="0.4">
      <c r="A2" s="3" t="s">
        <v>1</v>
      </c>
    </row>
    <row r="3" spans="1:6" x14ac:dyDescent="0.4">
      <c r="A3" s="4" t="s">
        <v>2</v>
      </c>
    </row>
    <row r="5" spans="1:6" x14ac:dyDescent="0.4">
      <c r="B5" s="3" t="s">
        <v>3</v>
      </c>
    </row>
    <row r="6" spans="1:6" x14ac:dyDescent="0.4">
      <c r="B6" s="5" t="s">
        <v>4</v>
      </c>
      <c r="C6" s="6">
        <v>124</v>
      </c>
    </row>
    <row r="7" spans="1:6" x14ac:dyDescent="0.4">
      <c r="B7" s="5" t="s">
        <v>5</v>
      </c>
      <c r="C7" s="7"/>
    </row>
    <row r="8" spans="1:6" x14ac:dyDescent="0.4">
      <c r="B8" s="5" t="s">
        <v>6</v>
      </c>
      <c r="C8" s="7"/>
    </row>
    <row r="9" spans="1:6" x14ac:dyDescent="0.4">
      <c r="B9" s="5" t="s">
        <v>7</v>
      </c>
      <c r="C9" s="8"/>
    </row>
    <row r="10" spans="1:6" x14ac:dyDescent="0.4">
      <c r="B10" s="5" t="s">
        <v>8</v>
      </c>
      <c r="C10" s="8"/>
    </row>
    <row r="12" spans="1:6" x14ac:dyDescent="0.4">
      <c r="A12" s="9" t="s">
        <v>9</v>
      </c>
      <c r="B12" s="9" t="s">
        <v>10</v>
      </c>
      <c r="C12" s="9" t="s">
        <v>11</v>
      </c>
      <c r="D12" s="9" t="s">
        <v>12</v>
      </c>
      <c r="E12" s="9" t="s">
        <v>13</v>
      </c>
      <c r="F12" s="9" t="s">
        <v>14</v>
      </c>
    </row>
    <row r="13" spans="1:6" x14ac:dyDescent="0.4">
      <c r="A13" s="5" t="s">
        <v>15</v>
      </c>
      <c r="B13" s="5" t="s">
        <v>16</v>
      </c>
      <c r="C13" s="10">
        <f>Détail!G19</f>
        <v>0</v>
      </c>
      <c r="D13" s="11">
        <f>Détail!I19</f>
        <v>124.3</v>
      </c>
      <c r="E13" s="10">
        <f>Détail!J19</f>
        <v>15413.2</v>
      </c>
      <c r="F13" s="10">
        <f t="shared" ref="F13:F20" si="0">C13+E13</f>
        <v>15413.2</v>
      </c>
    </row>
    <row r="14" spans="1:6" x14ac:dyDescent="0.4">
      <c r="A14" s="5" t="s">
        <v>17</v>
      </c>
      <c r="B14" s="5" t="s">
        <v>18</v>
      </c>
      <c r="C14" s="10">
        <f>Détail!G31</f>
        <v>0</v>
      </c>
      <c r="D14" s="11">
        <f>Détail!I31</f>
        <v>45</v>
      </c>
      <c r="E14" s="10">
        <f>Détail!J31</f>
        <v>5580</v>
      </c>
      <c r="F14" s="10">
        <f t="shared" si="0"/>
        <v>5580</v>
      </c>
    </row>
    <row r="15" spans="1:6" x14ac:dyDescent="0.4">
      <c r="A15" s="5" t="s">
        <v>19</v>
      </c>
      <c r="B15" s="5" t="s">
        <v>20</v>
      </c>
      <c r="C15" s="10">
        <f>Détail!G42</f>
        <v>0</v>
      </c>
      <c r="D15" s="11">
        <f>Détail!I42</f>
        <v>66.8</v>
      </c>
      <c r="E15" s="10">
        <f>Détail!J42</f>
        <v>8283.2000000000007</v>
      </c>
      <c r="F15" s="10">
        <f t="shared" si="0"/>
        <v>8283.2000000000007</v>
      </c>
    </row>
    <row r="16" spans="1:6" x14ac:dyDescent="0.4">
      <c r="A16" s="5" t="s">
        <v>21</v>
      </c>
      <c r="B16" s="5" t="s">
        <v>22</v>
      </c>
      <c r="C16" s="10">
        <f>Détail!G61</f>
        <v>0</v>
      </c>
      <c r="D16" s="11">
        <f>Détail!I61</f>
        <v>211.1</v>
      </c>
      <c r="E16" s="10">
        <f>Détail!J61</f>
        <v>26176.400000000001</v>
      </c>
      <c r="F16" s="10">
        <f t="shared" si="0"/>
        <v>26176.400000000001</v>
      </c>
    </row>
    <row r="17" spans="1:6" x14ac:dyDescent="0.4">
      <c r="A17" s="5" t="s">
        <v>23</v>
      </c>
      <c r="B17" s="5" t="s">
        <v>24</v>
      </c>
      <c r="C17" s="10">
        <f>Détail!G75</f>
        <v>0</v>
      </c>
      <c r="D17" s="11">
        <f>Détail!I75</f>
        <v>81.75</v>
      </c>
      <c r="E17" s="10">
        <f>Détail!J75</f>
        <v>10137</v>
      </c>
      <c r="F17" s="10">
        <f t="shared" si="0"/>
        <v>10137</v>
      </c>
    </row>
    <row r="18" spans="1:6" x14ac:dyDescent="0.4">
      <c r="A18" s="5" t="s">
        <v>25</v>
      </c>
      <c r="B18" s="5" t="s">
        <v>26</v>
      </c>
      <c r="C18" s="10">
        <f>Détail!G88</f>
        <v>0</v>
      </c>
      <c r="D18" s="11">
        <f>Détail!I88</f>
        <v>101.98</v>
      </c>
      <c r="E18" s="10">
        <f>Détail!J88</f>
        <v>12645.52</v>
      </c>
      <c r="F18" s="10">
        <f t="shared" si="0"/>
        <v>12645.52</v>
      </c>
    </row>
    <row r="19" spans="1:6" x14ac:dyDescent="0.4">
      <c r="A19" s="5" t="s">
        <v>27</v>
      </c>
      <c r="B19" s="5" t="s">
        <v>28</v>
      </c>
      <c r="C19" s="10">
        <f>Détail!G98</f>
        <v>0</v>
      </c>
      <c r="D19" s="11">
        <f>Détail!I98</f>
        <v>32.6</v>
      </c>
      <c r="E19" s="10">
        <f>Détail!J98</f>
        <v>4042.4</v>
      </c>
      <c r="F19" s="10">
        <f t="shared" si="0"/>
        <v>4042.4</v>
      </c>
    </row>
    <row r="20" spans="1:6" x14ac:dyDescent="0.4">
      <c r="A20" s="5" t="s">
        <v>29</v>
      </c>
      <c r="B20" s="5" t="s">
        <v>30</v>
      </c>
      <c r="C20" s="10">
        <f>Détail!G105</f>
        <v>0</v>
      </c>
      <c r="D20" s="11">
        <f>Détail!I105</f>
        <v>56</v>
      </c>
      <c r="E20" s="10">
        <f>Détail!J105</f>
        <v>6944</v>
      </c>
      <c r="F20" s="10">
        <f t="shared" si="0"/>
        <v>6944</v>
      </c>
    </row>
    <row r="22" spans="1:6" x14ac:dyDescent="0.4">
      <c r="B22" s="12" t="s">
        <v>31</v>
      </c>
      <c r="C22" s="13">
        <f>SUM(C13:C20)</f>
        <v>0</v>
      </c>
      <c r="D22" s="14">
        <f>SUM(D13:D20)</f>
        <v>719.53000000000009</v>
      </c>
      <c r="E22" s="13">
        <f>SUM(E13:E20)</f>
        <v>89221.72</v>
      </c>
      <c r="F22" s="13">
        <f>SUM(F13:F20)</f>
        <v>89221.72</v>
      </c>
    </row>
    <row r="23" spans="1:6" x14ac:dyDescent="0.4">
      <c r="B23" s="12" t="s">
        <v>32</v>
      </c>
      <c r="C23" s="13"/>
      <c r="D23" s="14"/>
      <c r="E23" s="13"/>
      <c r="F23" s="13">
        <f>'Matériel Lumen'!F49+C9+C10</f>
        <v>23159.671400000007</v>
      </c>
    </row>
    <row r="24" spans="1:6" x14ac:dyDescent="0.4">
      <c r="B24" s="12" t="s">
        <v>33</v>
      </c>
      <c r="C24" s="13"/>
      <c r="D24" s="14"/>
      <c r="E24" s="13"/>
      <c r="F24" s="13">
        <f>(F22+F23)*C7</f>
        <v>0</v>
      </c>
    </row>
    <row r="25" spans="1:6" x14ac:dyDescent="0.4">
      <c r="B25" s="12" t="s">
        <v>34</v>
      </c>
      <c r="C25" s="13"/>
      <c r="D25" s="14"/>
      <c r="E25" s="13"/>
      <c r="F25" s="13">
        <f>(F22+F23+F24)*C8</f>
        <v>0</v>
      </c>
    </row>
    <row r="26" spans="1:6" ht="15.45" x14ac:dyDescent="0.4">
      <c r="B26" s="15" t="s">
        <v>35</v>
      </c>
      <c r="C26" s="13"/>
      <c r="D26" s="14"/>
      <c r="E26" s="13"/>
      <c r="F26" s="16">
        <f>SUM(F22:F25)</f>
        <v>112381.39140000001</v>
      </c>
    </row>
    <row r="27" spans="1:6" x14ac:dyDescent="0.4">
      <c r="B27" s="12" t="s">
        <v>36</v>
      </c>
      <c r="C27" s="13"/>
      <c r="D27" s="14">
        <f>D22/8</f>
        <v>89.941250000000011</v>
      </c>
      <c r="E27" s="13"/>
      <c r="F27" s="13"/>
    </row>
    <row r="29" spans="1:6" x14ac:dyDescent="0.4">
      <c r="B29" s="3" t="s">
        <v>37</v>
      </c>
    </row>
    <row r="30" spans="1:6" ht="30" customHeight="1" x14ac:dyDescent="0.4">
      <c r="B30" s="1" t="s">
        <v>38</v>
      </c>
      <c r="C30" s="1"/>
      <c r="D30" s="1"/>
      <c r="E30" s="1"/>
      <c r="F30" s="1"/>
    </row>
    <row r="31" spans="1:6" ht="30" customHeight="1" x14ac:dyDescent="0.4">
      <c r="B31" s="1" t="s">
        <v>39</v>
      </c>
      <c r="C31" s="1"/>
      <c r="D31" s="1"/>
      <c r="E31" s="1"/>
      <c r="F31" s="1"/>
    </row>
    <row r="32" spans="1:6" ht="30" customHeight="1" x14ac:dyDescent="0.4">
      <c r="B32" s="1" t="s">
        <v>40</v>
      </c>
      <c r="C32" s="1"/>
      <c r="D32" s="1"/>
      <c r="E32" s="1"/>
      <c r="F32" s="1"/>
    </row>
    <row r="33" spans="2:6" ht="30" customHeight="1" x14ac:dyDescent="0.4">
      <c r="B33" s="1" t="s">
        <v>41</v>
      </c>
      <c r="C33" s="1"/>
      <c r="D33" s="1"/>
      <c r="E33" s="1"/>
      <c r="F33" s="1"/>
    </row>
    <row r="34" spans="2:6" ht="30" customHeight="1" x14ac:dyDescent="0.4">
      <c r="B34" s="1" t="s">
        <v>42</v>
      </c>
      <c r="C34" s="1"/>
      <c r="D34" s="1"/>
      <c r="E34" s="1"/>
      <c r="F34" s="1"/>
    </row>
    <row r="35" spans="2:6" ht="30" customHeight="1" x14ac:dyDescent="0.4">
      <c r="B35" s="1" t="s">
        <v>43</v>
      </c>
      <c r="C35" s="1"/>
      <c r="D35" s="1"/>
      <c r="E35" s="1"/>
      <c r="F35" s="1"/>
    </row>
  </sheetData>
  <mergeCells count="6">
    <mergeCell ref="B35:F35"/>
    <mergeCell ref="B30:F30"/>
    <mergeCell ref="B31:F31"/>
    <mergeCell ref="B32:F32"/>
    <mergeCell ref="B33:F33"/>
    <mergeCell ref="B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zoomScaleNormal="100" workbookViewId="0">
      <pane ySplit="6" topLeftCell="A7" activePane="bottomLeft" state="frozen"/>
      <selection pane="bottomLeft"/>
    </sheetView>
  </sheetViews>
  <sheetFormatPr baseColWidth="10" defaultColWidth="8.69140625" defaultRowHeight="14.6" x14ac:dyDescent="0.4"/>
  <cols>
    <col min="1" max="1" width="7" customWidth="1"/>
    <col min="2" max="2" width="70" customWidth="1"/>
    <col min="3" max="3" width="18" customWidth="1"/>
    <col min="4" max="4" width="8" customWidth="1"/>
    <col min="5" max="5" width="7" customWidth="1"/>
    <col min="6" max="6" width="13" customWidth="1"/>
    <col min="7" max="7" width="14" customWidth="1"/>
    <col min="8" max="8" width="8" customWidth="1"/>
    <col min="9" max="9" width="9" customWidth="1"/>
    <col min="10" max="10" width="14" customWidth="1"/>
    <col min="11" max="11" width="15" customWidth="1"/>
    <col min="12" max="12" width="38" customWidth="1"/>
  </cols>
  <sheetData>
    <row r="1" spans="1:12" ht="17.600000000000001" x14ac:dyDescent="0.4">
      <c r="A1" s="2" t="s">
        <v>44</v>
      </c>
    </row>
    <row r="2" spans="1:12" x14ac:dyDescent="0.4">
      <c r="A2" s="3" t="s">
        <v>1</v>
      </c>
    </row>
    <row r="3" spans="1:12" x14ac:dyDescent="0.4">
      <c r="A3" s="4" t="s">
        <v>2</v>
      </c>
    </row>
    <row r="4" spans="1:12" x14ac:dyDescent="0.4">
      <c r="A4" s="17" t="s">
        <v>45</v>
      </c>
    </row>
    <row r="6" spans="1:12" ht="27.75" customHeight="1" x14ac:dyDescent="0.4">
      <c r="A6" s="18" t="s">
        <v>46</v>
      </c>
      <c r="B6" s="18" t="s">
        <v>10</v>
      </c>
      <c r="C6" s="18" t="s">
        <v>47</v>
      </c>
      <c r="D6" s="18" t="s">
        <v>48</v>
      </c>
      <c r="E6" s="18" t="s">
        <v>49</v>
      </c>
      <c r="F6" s="18" t="s">
        <v>50</v>
      </c>
      <c r="G6" s="18" t="s">
        <v>51</v>
      </c>
      <c r="H6" s="18" t="s">
        <v>52</v>
      </c>
      <c r="I6" s="18" t="s">
        <v>53</v>
      </c>
      <c r="J6" s="18" t="s">
        <v>54</v>
      </c>
      <c r="K6" s="18" t="s">
        <v>55</v>
      </c>
      <c r="L6" s="18" t="s">
        <v>56</v>
      </c>
    </row>
    <row r="7" spans="1:12" x14ac:dyDescent="0.4">
      <c r="A7" s="15" t="s">
        <v>15</v>
      </c>
      <c r="B7" s="15" t="s">
        <v>16</v>
      </c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24.9" x14ac:dyDescent="0.4">
      <c r="A8" s="20" t="s">
        <v>57</v>
      </c>
      <c r="B8" s="21" t="s">
        <v>58</v>
      </c>
      <c r="C8" s="20" t="s">
        <v>59</v>
      </c>
      <c r="D8" s="22">
        <v>39</v>
      </c>
      <c r="E8" s="20" t="s">
        <v>60</v>
      </c>
      <c r="F8" s="23"/>
      <c r="G8" s="24">
        <f t="shared" ref="G8:G18" si="0">D8*F8</f>
        <v>0</v>
      </c>
      <c r="H8" s="25">
        <v>0.35</v>
      </c>
      <c r="I8" s="26">
        <f t="shared" ref="I8:I18" si="1">D8*H8</f>
        <v>13.649999999999999</v>
      </c>
      <c r="J8" s="24">
        <f>I8*Sommaire!$C$6</f>
        <v>1692.6</v>
      </c>
      <c r="K8" s="24">
        <f t="shared" ref="K8:K18" si="2">G8+J8</f>
        <v>1692.6</v>
      </c>
      <c r="L8" s="21" t="s">
        <v>61</v>
      </c>
    </row>
    <row r="9" spans="1:12" x14ac:dyDescent="0.4">
      <c r="A9" s="20" t="s">
        <v>62</v>
      </c>
      <c r="B9" s="21" t="s">
        <v>63</v>
      </c>
      <c r="C9" s="20" t="s">
        <v>64</v>
      </c>
      <c r="D9" s="22">
        <v>7</v>
      </c>
      <c r="E9" s="20" t="s">
        <v>60</v>
      </c>
      <c r="F9" s="23"/>
      <c r="G9" s="24">
        <f t="shared" si="0"/>
        <v>0</v>
      </c>
      <c r="H9" s="25">
        <v>0.35</v>
      </c>
      <c r="I9" s="26">
        <f t="shared" si="1"/>
        <v>2.4499999999999997</v>
      </c>
      <c r="J9" s="24">
        <f>I9*Sommaire!$C$6</f>
        <v>303.79999999999995</v>
      </c>
      <c r="K9" s="24">
        <f t="shared" si="2"/>
        <v>303.79999999999995</v>
      </c>
      <c r="L9" s="21" t="s">
        <v>65</v>
      </c>
    </row>
    <row r="10" spans="1:12" ht="24.9" x14ac:dyDescent="0.4">
      <c r="A10" s="20" t="s">
        <v>66</v>
      </c>
      <c r="B10" s="21" t="s">
        <v>67</v>
      </c>
      <c r="C10" s="20" t="s">
        <v>68</v>
      </c>
      <c r="D10" s="22">
        <v>34</v>
      </c>
      <c r="E10" s="20" t="s">
        <v>60</v>
      </c>
      <c r="F10" s="23"/>
      <c r="G10" s="24">
        <f t="shared" si="0"/>
        <v>0</v>
      </c>
      <c r="H10" s="25">
        <v>0.4</v>
      </c>
      <c r="I10" s="26">
        <f t="shared" si="1"/>
        <v>13.600000000000001</v>
      </c>
      <c r="J10" s="24">
        <f>I10*Sommaire!$C$6</f>
        <v>1686.4</v>
      </c>
      <c r="K10" s="24">
        <f t="shared" si="2"/>
        <v>1686.4</v>
      </c>
      <c r="L10" s="21" t="s">
        <v>69</v>
      </c>
    </row>
    <row r="11" spans="1:12" x14ac:dyDescent="0.4">
      <c r="A11" s="20" t="s">
        <v>70</v>
      </c>
      <c r="B11" s="21" t="s">
        <v>71</v>
      </c>
      <c r="C11" s="20" t="s">
        <v>72</v>
      </c>
      <c r="D11" s="22">
        <v>10</v>
      </c>
      <c r="E11" s="20" t="s">
        <v>60</v>
      </c>
      <c r="F11" s="23"/>
      <c r="G11" s="24">
        <f t="shared" si="0"/>
        <v>0</v>
      </c>
      <c r="H11" s="25">
        <v>0.4</v>
      </c>
      <c r="I11" s="26">
        <f t="shared" si="1"/>
        <v>4</v>
      </c>
      <c r="J11" s="24">
        <f>I11*Sommaire!$C$6</f>
        <v>496</v>
      </c>
      <c r="K11" s="24">
        <f t="shared" si="2"/>
        <v>496</v>
      </c>
      <c r="L11" s="21" t="s">
        <v>73</v>
      </c>
    </row>
    <row r="12" spans="1:12" x14ac:dyDescent="0.4">
      <c r="A12" s="20" t="s">
        <v>74</v>
      </c>
      <c r="B12" s="21" t="s">
        <v>75</v>
      </c>
      <c r="C12" s="20" t="s">
        <v>76</v>
      </c>
      <c r="D12" s="22">
        <v>13</v>
      </c>
      <c r="E12" s="20" t="s">
        <v>60</v>
      </c>
      <c r="F12" s="23"/>
      <c r="G12" s="24">
        <f t="shared" si="0"/>
        <v>0</v>
      </c>
      <c r="H12" s="25">
        <v>1</v>
      </c>
      <c r="I12" s="26">
        <f t="shared" si="1"/>
        <v>13</v>
      </c>
      <c r="J12" s="24">
        <f>I12*Sommaire!$C$6</f>
        <v>1612</v>
      </c>
      <c r="K12" s="24">
        <f t="shared" si="2"/>
        <v>1612</v>
      </c>
      <c r="L12" s="21" t="s">
        <v>77</v>
      </c>
    </row>
    <row r="13" spans="1:12" x14ac:dyDescent="0.4">
      <c r="A13" s="20" t="s">
        <v>78</v>
      </c>
      <c r="B13" s="21" t="s">
        <v>79</v>
      </c>
      <c r="C13" s="20" t="s">
        <v>80</v>
      </c>
      <c r="D13" s="22">
        <v>7</v>
      </c>
      <c r="E13" s="20" t="s">
        <v>60</v>
      </c>
      <c r="F13" s="23"/>
      <c r="G13" s="24">
        <f t="shared" si="0"/>
        <v>0</v>
      </c>
      <c r="H13" s="25">
        <v>1</v>
      </c>
      <c r="I13" s="26">
        <f t="shared" si="1"/>
        <v>7</v>
      </c>
      <c r="J13" s="24">
        <f>I13*Sommaire!$C$6</f>
        <v>868</v>
      </c>
      <c r="K13" s="24">
        <f t="shared" si="2"/>
        <v>868</v>
      </c>
      <c r="L13" s="21" t="s">
        <v>81</v>
      </c>
    </row>
    <row r="14" spans="1:12" x14ac:dyDescent="0.4">
      <c r="A14" s="20" t="s">
        <v>82</v>
      </c>
      <c r="B14" s="21" t="s">
        <v>83</v>
      </c>
      <c r="C14" s="20" t="s">
        <v>59</v>
      </c>
      <c r="D14" s="22">
        <v>1</v>
      </c>
      <c r="E14" s="20" t="s">
        <v>84</v>
      </c>
      <c r="F14" s="23"/>
      <c r="G14" s="24">
        <f t="shared" si="0"/>
        <v>0</v>
      </c>
      <c r="H14" s="25">
        <v>6</v>
      </c>
      <c r="I14" s="26">
        <f t="shared" si="1"/>
        <v>6</v>
      </c>
      <c r="J14" s="24">
        <f>I14*Sommaire!$C$6</f>
        <v>744</v>
      </c>
      <c r="K14" s="24">
        <f t="shared" si="2"/>
        <v>744</v>
      </c>
      <c r="L14" s="21" t="s">
        <v>85</v>
      </c>
    </row>
    <row r="15" spans="1:12" x14ac:dyDescent="0.4">
      <c r="A15" s="20" t="s">
        <v>86</v>
      </c>
      <c r="B15" s="21" t="s">
        <v>87</v>
      </c>
      <c r="C15" s="20" t="s">
        <v>88</v>
      </c>
      <c r="D15" s="22">
        <v>21</v>
      </c>
      <c r="E15" s="20" t="s">
        <v>60</v>
      </c>
      <c r="F15" s="23"/>
      <c r="G15" s="24">
        <f t="shared" si="0"/>
        <v>0</v>
      </c>
      <c r="H15" s="25">
        <v>0.6</v>
      </c>
      <c r="I15" s="26">
        <f t="shared" si="1"/>
        <v>12.6</v>
      </c>
      <c r="J15" s="24">
        <f>I15*Sommaire!$C$6</f>
        <v>1562.3999999999999</v>
      </c>
      <c r="K15" s="24">
        <f t="shared" si="2"/>
        <v>1562.3999999999999</v>
      </c>
      <c r="L15" s="21" t="s">
        <v>89</v>
      </c>
    </row>
    <row r="16" spans="1:12" x14ac:dyDescent="0.4">
      <c r="A16" s="20" t="s">
        <v>90</v>
      </c>
      <c r="B16" s="21" t="s">
        <v>91</v>
      </c>
      <c r="C16" s="20" t="s">
        <v>88</v>
      </c>
      <c r="D16" s="22">
        <v>24</v>
      </c>
      <c r="E16" s="20" t="s">
        <v>60</v>
      </c>
      <c r="F16" s="23"/>
      <c r="G16" s="24">
        <f t="shared" si="0"/>
        <v>0</v>
      </c>
      <c r="H16" s="25">
        <v>0.5</v>
      </c>
      <c r="I16" s="26">
        <f t="shared" si="1"/>
        <v>12</v>
      </c>
      <c r="J16" s="24">
        <f>I16*Sommaire!$C$6</f>
        <v>1488</v>
      </c>
      <c r="K16" s="24">
        <f t="shared" si="2"/>
        <v>1488</v>
      </c>
      <c r="L16" s="21" t="s">
        <v>92</v>
      </c>
    </row>
    <row r="17" spans="1:12" ht="24.9" x14ac:dyDescent="0.4">
      <c r="A17" s="20" t="s">
        <v>93</v>
      </c>
      <c r="B17" s="21" t="s">
        <v>94</v>
      </c>
      <c r="C17" s="20" t="s">
        <v>95</v>
      </c>
      <c r="D17" s="22">
        <v>6</v>
      </c>
      <c r="E17" s="20" t="s">
        <v>60</v>
      </c>
      <c r="F17" s="23"/>
      <c r="G17" s="24">
        <f t="shared" si="0"/>
        <v>0</v>
      </c>
      <c r="H17" s="25">
        <v>4</v>
      </c>
      <c r="I17" s="26">
        <f t="shared" si="1"/>
        <v>24</v>
      </c>
      <c r="J17" s="24">
        <f>I17*Sommaire!$C$6</f>
        <v>2976</v>
      </c>
      <c r="K17" s="24">
        <f t="shared" si="2"/>
        <v>2976</v>
      </c>
      <c r="L17" s="21" t="s">
        <v>96</v>
      </c>
    </row>
    <row r="18" spans="1:12" ht="24.9" x14ac:dyDescent="0.4">
      <c r="A18" s="20" t="s">
        <v>97</v>
      </c>
      <c r="B18" s="21" t="s">
        <v>98</v>
      </c>
      <c r="C18" s="20" t="s">
        <v>99</v>
      </c>
      <c r="D18" s="22">
        <v>1</v>
      </c>
      <c r="E18" s="20" t="s">
        <v>84</v>
      </c>
      <c r="F18" s="23"/>
      <c r="G18" s="24">
        <f t="shared" si="0"/>
        <v>0</v>
      </c>
      <c r="H18" s="25">
        <v>16</v>
      </c>
      <c r="I18" s="26">
        <f t="shared" si="1"/>
        <v>16</v>
      </c>
      <c r="J18" s="24">
        <f>I18*Sommaire!$C$6</f>
        <v>1984</v>
      </c>
      <c r="K18" s="24">
        <f t="shared" si="2"/>
        <v>1984</v>
      </c>
      <c r="L18" s="21" t="s">
        <v>100</v>
      </c>
    </row>
    <row r="19" spans="1:12" x14ac:dyDescent="0.4">
      <c r="A19" s="27"/>
      <c r="B19" s="28" t="s">
        <v>101</v>
      </c>
      <c r="C19" s="27"/>
      <c r="D19" s="27"/>
      <c r="E19" s="27"/>
      <c r="F19" s="27"/>
      <c r="G19" s="29">
        <f>SUM(G8:G18)</f>
        <v>0</v>
      </c>
      <c r="H19" s="27"/>
      <c r="I19" s="30">
        <f>SUM(I8:I18)</f>
        <v>124.3</v>
      </c>
      <c r="J19" s="29">
        <f>SUM(J8:J18)</f>
        <v>15413.2</v>
      </c>
      <c r="K19" s="29">
        <f>SUM(K8:K18)</f>
        <v>15413.2</v>
      </c>
      <c r="L19" s="27"/>
    </row>
    <row r="21" spans="1:12" x14ac:dyDescent="0.4">
      <c r="A21" s="15" t="s">
        <v>17</v>
      </c>
      <c r="B21" s="15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ht="24.9" x14ac:dyDescent="0.4">
      <c r="A22" s="20" t="s">
        <v>102</v>
      </c>
      <c r="B22" s="21" t="s">
        <v>103</v>
      </c>
      <c r="C22" s="20" t="s">
        <v>104</v>
      </c>
      <c r="D22" s="22">
        <v>1</v>
      </c>
      <c r="E22" s="20" t="s">
        <v>60</v>
      </c>
      <c r="F22" s="23"/>
      <c r="G22" s="24">
        <f t="shared" ref="G22:G30" si="3">D22*F22</f>
        <v>0</v>
      </c>
      <c r="H22" s="25">
        <v>24</v>
      </c>
      <c r="I22" s="26">
        <f t="shared" ref="I22:I30" si="4">D22*H22</f>
        <v>24</v>
      </c>
      <c r="J22" s="24">
        <f>I22*Sommaire!$C$6</f>
        <v>2976</v>
      </c>
      <c r="K22" s="24">
        <f t="shared" ref="K22:K30" si="5">G22+J22</f>
        <v>2976</v>
      </c>
      <c r="L22" s="21" t="s">
        <v>105</v>
      </c>
    </row>
    <row r="23" spans="1:12" x14ac:dyDescent="0.4">
      <c r="A23" s="20" t="s">
        <v>106</v>
      </c>
      <c r="B23" s="21" t="s">
        <v>107</v>
      </c>
      <c r="C23" s="20" t="s">
        <v>108</v>
      </c>
      <c r="D23" s="22">
        <v>14</v>
      </c>
      <c r="E23" s="20" t="s">
        <v>60</v>
      </c>
      <c r="F23" s="23"/>
      <c r="G23" s="24">
        <f t="shared" si="3"/>
        <v>0</v>
      </c>
      <c r="H23" s="25">
        <v>0.5</v>
      </c>
      <c r="I23" s="26">
        <f t="shared" si="4"/>
        <v>7</v>
      </c>
      <c r="J23" s="24">
        <f>I23*Sommaire!$C$6</f>
        <v>868</v>
      </c>
      <c r="K23" s="24">
        <f t="shared" si="5"/>
        <v>868</v>
      </c>
      <c r="L23" s="21" t="s">
        <v>109</v>
      </c>
    </row>
    <row r="24" spans="1:12" x14ac:dyDescent="0.4">
      <c r="A24" s="20" t="s">
        <v>110</v>
      </c>
      <c r="B24" s="21" t="s">
        <v>111</v>
      </c>
      <c r="C24" s="20" t="s">
        <v>108</v>
      </c>
      <c r="D24" s="22">
        <v>1</v>
      </c>
      <c r="E24" s="20" t="s">
        <v>60</v>
      </c>
      <c r="F24" s="23"/>
      <c r="G24" s="24">
        <f t="shared" si="3"/>
        <v>0</v>
      </c>
      <c r="H24" s="25">
        <v>0.75</v>
      </c>
      <c r="I24" s="26">
        <f t="shared" si="4"/>
        <v>0.75</v>
      </c>
      <c r="J24" s="24">
        <f>I24*Sommaire!$C$6</f>
        <v>93</v>
      </c>
      <c r="K24" s="24">
        <f t="shared" si="5"/>
        <v>93</v>
      </c>
      <c r="L24" s="21"/>
    </row>
    <row r="25" spans="1:12" ht="24.9" x14ac:dyDescent="0.4">
      <c r="A25" s="20" t="s">
        <v>112</v>
      </c>
      <c r="B25" s="21" t="s">
        <v>113</v>
      </c>
      <c r="C25" s="20" t="s">
        <v>108</v>
      </c>
      <c r="D25" s="22">
        <v>1</v>
      </c>
      <c r="E25" s="20" t="s">
        <v>60</v>
      </c>
      <c r="F25" s="23"/>
      <c r="G25" s="24">
        <f t="shared" si="3"/>
        <v>0</v>
      </c>
      <c r="H25" s="25">
        <v>0.75</v>
      </c>
      <c r="I25" s="26">
        <f t="shared" si="4"/>
        <v>0.75</v>
      </c>
      <c r="J25" s="24">
        <f>I25*Sommaire!$C$6</f>
        <v>93</v>
      </c>
      <c r="K25" s="24">
        <f t="shared" si="5"/>
        <v>93</v>
      </c>
      <c r="L25" s="21" t="s">
        <v>114</v>
      </c>
    </row>
    <row r="26" spans="1:12" x14ac:dyDescent="0.4">
      <c r="A26" s="20" t="s">
        <v>115</v>
      </c>
      <c r="B26" s="21" t="s">
        <v>116</v>
      </c>
      <c r="C26" s="20" t="s">
        <v>108</v>
      </c>
      <c r="D26" s="22">
        <v>1</v>
      </c>
      <c r="E26" s="20" t="s">
        <v>60</v>
      </c>
      <c r="F26" s="23"/>
      <c r="G26" s="24">
        <f t="shared" si="3"/>
        <v>0</v>
      </c>
      <c r="H26" s="25">
        <v>0.75</v>
      </c>
      <c r="I26" s="26">
        <f t="shared" si="4"/>
        <v>0.75</v>
      </c>
      <c r="J26" s="24">
        <f>I26*Sommaire!$C$6</f>
        <v>93</v>
      </c>
      <c r="K26" s="24">
        <f t="shared" si="5"/>
        <v>93</v>
      </c>
      <c r="L26" s="21"/>
    </row>
    <row r="27" spans="1:12" x14ac:dyDescent="0.4">
      <c r="A27" s="20" t="s">
        <v>117</v>
      </c>
      <c r="B27" s="21" t="s">
        <v>118</v>
      </c>
      <c r="C27" s="20" t="s">
        <v>108</v>
      </c>
      <c r="D27" s="22">
        <v>1</v>
      </c>
      <c r="E27" s="20" t="s">
        <v>60</v>
      </c>
      <c r="F27" s="23"/>
      <c r="G27" s="24">
        <f t="shared" si="3"/>
        <v>0</v>
      </c>
      <c r="H27" s="25">
        <v>0.75</v>
      </c>
      <c r="I27" s="26">
        <f t="shared" si="4"/>
        <v>0.75</v>
      </c>
      <c r="J27" s="24">
        <f>I27*Sommaire!$C$6</f>
        <v>93</v>
      </c>
      <c r="K27" s="24">
        <f t="shared" si="5"/>
        <v>93</v>
      </c>
      <c r="L27" s="21"/>
    </row>
    <row r="28" spans="1:12" x14ac:dyDescent="0.4">
      <c r="A28" s="20" t="s">
        <v>119</v>
      </c>
      <c r="B28" s="21" t="s">
        <v>120</v>
      </c>
      <c r="C28" s="20" t="s">
        <v>108</v>
      </c>
      <c r="D28" s="22">
        <v>2</v>
      </c>
      <c r="E28" s="20" t="s">
        <v>60</v>
      </c>
      <c r="F28" s="23"/>
      <c r="G28" s="24">
        <f t="shared" si="3"/>
        <v>0</v>
      </c>
      <c r="H28" s="25">
        <v>0.5</v>
      </c>
      <c r="I28" s="26">
        <f t="shared" si="4"/>
        <v>1</v>
      </c>
      <c r="J28" s="24">
        <f>I28*Sommaire!$C$6</f>
        <v>124</v>
      </c>
      <c r="K28" s="24">
        <f t="shared" si="5"/>
        <v>124</v>
      </c>
      <c r="L28" s="21"/>
    </row>
    <row r="29" spans="1:12" x14ac:dyDescent="0.4">
      <c r="A29" s="20" t="s">
        <v>121</v>
      </c>
      <c r="B29" s="21" t="s">
        <v>122</v>
      </c>
      <c r="C29" s="20" t="s">
        <v>108</v>
      </c>
      <c r="D29" s="22">
        <v>2</v>
      </c>
      <c r="E29" s="20" t="s">
        <v>60</v>
      </c>
      <c r="F29" s="23"/>
      <c r="G29" s="24">
        <f t="shared" si="3"/>
        <v>0</v>
      </c>
      <c r="H29" s="25">
        <v>0.5</v>
      </c>
      <c r="I29" s="26">
        <f t="shared" si="4"/>
        <v>1</v>
      </c>
      <c r="J29" s="24">
        <f>I29*Sommaire!$C$6</f>
        <v>124</v>
      </c>
      <c r="K29" s="24">
        <f t="shared" si="5"/>
        <v>124</v>
      </c>
      <c r="L29" s="21"/>
    </row>
    <row r="30" spans="1:12" ht="24.9" x14ac:dyDescent="0.4">
      <c r="A30" s="20" t="s">
        <v>123</v>
      </c>
      <c r="B30" s="21" t="s">
        <v>124</v>
      </c>
      <c r="C30" s="20" t="s">
        <v>125</v>
      </c>
      <c r="D30" s="22">
        <v>9</v>
      </c>
      <c r="E30" s="20" t="s">
        <v>60</v>
      </c>
      <c r="F30" s="23"/>
      <c r="G30" s="24">
        <f t="shared" si="3"/>
        <v>0</v>
      </c>
      <c r="H30" s="25">
        <v>1</v>
      </c>
      <c r="I30" s="26">
        <f t="shared" si="4"/>
        <v>9</v>
      </c>
      <c r="J30" s="24">
        <f>I30*Sommaire!$C$6</f>
        <v>1116</v>
      </c>
      <c r="K30" s="24">
        <f t="shared" si="5"/>
        <v>1116</v>
      </c>
      <c r="L30" s="21"/>
    </row>
    <row r="31" spans="1:12" x14ac:dyDescent="0.4">
      <c r="A31" s="27"/>
      <c r="B31" s="28" t="s">
        <v>126</v>
      </c>
      <c r="C31" s="27"/>
      <c r="D31" s="27"/>
      <c r="E31" s="27"/>
      <c r="F31" s="27"/>
      <c r="G31" s="29">
        <f>SUM(G22:G30)</f>
        <v>0</v>
      </c>
      <c r="H31" s="27"/>
      <c r="I31" s="30">
        <f>SUM(I22:I30)</f>
        <v>45</v>
      </c>
      <c r="J31" s="29">
        <f>SUM(J22:J30)</f>
        <v>5580</v>
      </c>
      <c r="K31" s="29">
        <f>SUM(K22:K30)</f>
        <v>5580</v>
      </c>
      <c r="L31" s="27"/>
    </row>
    <row r="33" spans="1:12" x14ac:dyDescent="0.4">
      <c r="A33" s="15" t="s">
        <v>19</v>
      </c>
      <c r="B33" s="15" t="s">
        <v>20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ht="37.299999999999997" x14ac:dyDescent="0.4">
      <c r="A34" s="20" t="s">
        <v>127</v>
      </c>
      <c r="B34" s="21" t="s">
        <v>128</v>
      </c>
      <c r="C34" s="20" t="s">
        <v>129</v>
      </c>
      <c r="D34" s="22">
        <v>1</v>
      </c>
      <c r="E34" s="20" t="s">
        <v>60</v>
      </c>
      <c r="F34" s="23"/>
      <c r="G34" s="24">
        <f t="shared" ref="G34:G41" si="6">D34*F34</f>
        <v>0</v>
      </c>
      <c r="H34" s="25">
        <v>16</v>
      </c>
      <c r="I34" s="26">
        <f t="shared" ref="I34:I41" si="7">D34*H34</f>
        <v>16</v>
      </c>
      <c r="J34" s="24">
        <f>I34*Sommaire!$C$6</f>
        <v>1984</v>
      </c>
      <c r="K34" s="24">
        <f t="shared" ref="K34:K41" si="8">G34+J34</f>
        <v>1984</v>
      </c>
      <c r="L34" s="21" t="s">
        <v>130</v>
      </c>
    </row>
    <row r="35" spans="1:12" ht="24.9" x14ac:dyDescent="0.4">
      <c r="A35" s="20" t="s">
        <v>131</v>
      </c>
      <c r="B35" s="21" t="s">
        <v>132</v>
      </c>
      <c r="C35" s="20" t="s">
        <v>129</v>
      </c>
      <c r="D35" s="22">
        <v>1</v>
      </c>
      <c r="E35" s="20" t="s">
        <v>60</v>
      </c>
      <c r="F35" s="23"/>
      <c r="G35" s="24">
        <f t="shared" si="6"/>
        <v>0</v>
      </c>
      <c r="H35" s="25">
        <v>10</v>
      </c>
      <c r="I35" s="26">
        <f t="shared" si="7"/>
        <v>10</v>
      </c>
      <c r="J35" s="24">
        <f>I35*Sommaire!$C$6</f>
        <v>1240</v>
      </c>
      <c r="K35" s="24">
        <f t="shared" si="8"/>
        <v>1240</v>
      </c>
      <c r="L35" s="21" t="s">
        <v>133</v>
      </c>
    </row>
    <row r="36" spans="1:12" ht="24.9" x14ac:dyDescent="0.4">
      <c r="A36" s="20" t="s">
        <v>134</v>
      </c>
      <c r="B36" s="21" t="s">
        <v>135</v>
      </c>
      <c r="C36" s="20" t="s">
        <v>136</v>
      </c>
      <c r="D36" s="22">
        <v>2</v>
      </c>
      <c r="E36" s="20" t="s">
        <v>60</v>
      </c>
      <c r="F36" s="23"/>
      <c r="G36" s="24">
        <f t="shared" si="6"/>
        <v>0</v>
      </c>
      <c r="H36" s="25">
        <v>6</v>
      </c>
      <c r="I36" s="26">
        <f t="shared" si="7"/>
        <v>12</v>
      </c>
      <c r="J36" s="24">
        <f>I36*Sommaire!$C$6</f>
        <v>1488</v>
      </c>
      <c r="K36" s="24">
        <f t="shared" si="8"/>
        <v>1488</v>
      </c>
      <c r="L36" s="21" t="s">
        <v>137</v>
      </c>
    </row>
    <row r="37" spans="1:12" ht="24.9" x14ac:dyDescent="0.4">
      <c r="A37" s="20" t="s">
        <v>138</v>
      </c>
      <c r="B37" s="21" t="s">
        <v>139</v>
      </c>
      <c r="C37" s="20" t="s">
        <v>140</v>
      </c>
      <c r="D37" s="22">
        <v>3</v>
      </c>
      <c r="E37" s="20" t="s">
        <v>60</v>
      </c>
      <c r="F37" s="23"/>
      <c r="G37" s="24">
        <f t="shared" si="6"/>
        <v>0</v>
      </c>
      <c r="H37" s="25">
        <v>4</v>
      </c>
      <c r="I37" s="26">
        <f t="shared" si="7"/>
        <v>12</v>
      </c>
      <c r="J37" s="24">
        <f>I37*Sommaire!$C$6</f>
        <v>1488</v>
      </c>
      <c r="K37" s="24">
        <f t="shared" si="8"/>
        <v>1488</v>
      </c>
      <c r="L37" s="21" t="s">
        <v>141</v>
      </c>
    </row>
    <row r="38" spans="1:12" x14ac:dyDescent="0.4">
      <c r="A38" s="20" t="s">
        <v>142</v>
      </c>
      <c r="B38" s="21" t="s">
        <v>143</v>
      </c>
      <c r="C38" s="20" t="s">
        <v>144</v>
      </c>
      <c r="D38" s="22">
        <v>35</v>
      </c>
      <c r="E38" s="20" t="s">
        <v>145</v>
      </c>
      <c r="F38" s="23"/>
      <c r="G38" s="24">
        <f t="shared" si="6"/>
        <v>0</v>
      </c>
      <c r="H38" s="25">
        <v>0.12</v>
      </c>
      <c r="I38" s="26">
        <f t="shared" si="7"/>
        <v>4.2</v>
      </c>
      <c r="J38" s="24">
        <f>I38*Sommaire!$C$6</f>
        <v>520.80000000000007</v>
      </c>
      <c r="K38" s="24">
        <f t="shared" si="8"/>
        <v>520.80000000000007</v>
      </c>
      <c r="L38" s="21" t="s">
        <v>146</v>
      </c>
    </row>
    <row r="39" spans="1:12" x14ac:dyDescent="0.4">
      <c r="A39" s="20" t="s">
        <v>147</v>
      </c>
      <c r="B39" s="21" t="s">
        <v>148</v>
      </c>
      <c r="C39" s="20" t="s">
        <v>144</v>
      </c>
      <c r="D39" s="22">
        <v>140</v>
      </c>
      <c r="E39" s="20" t="s">
        <v>145</v>
      </c>
      <c r="F39" s="23"/>
      <c r="G39" s="24">
        <f t="shared" si="6"/>
        <v>0</v>
      </c>
      <c r="H39" s="25">
        <v>1.4999999999999999E-2</v>
      </c>
      <c r="I39" s="26">
        <f t="shared" si="7"/>
        <v>2.1</v>
      </c>
      <c r="J39" s="24">
        <f>I39*Sommaire!$C$6</f>
        <v>260.40000000000003</v>
      </c>
      <c r="K39" s="24">
        <f t="shared" si="8"/>
        <v>260.40000000000003</v>
      </c>
      <c r="L39" s="21" t="s">
        <v>149</v>
      </c>
    </row>
    <row r="40" spans="1:12" x14ac:dyDescent="0.4">
      <c r="A40" s="20" t="s">
        <v>150</v>
      </c>
      <c r="B40" s="21" t="s">
        <v>151</v>
      </c>
      <c r="C40" s="20" t="s">
        <v>152</v>
      </c>
      <c r="D40" s="22">
        <v>80</v>
      </c>
      <c r="E40" s="20" t="s">
        <v>145</v>
      </c>
      <c r="F40" s="23"/>
      <c r="G40" s="24">
        <f t="shared" si="6"/>
        <v>0</v>
      </c>
      <c r="H40" s="25">
        <v>0.09</v>
      </c>
      <c r="I40" s="26">
        <f t="shared" si="7"/>
        <v>7.1999999999999993</v>
      </c>
      <c r="J40" s="24">
        <f>I40*Sommaire!$C$6</f>
        <v>892.8</v>
      </c>
      <c r="K40" s="24">
        <f t="shared" si="8"/>
        <v>892.8</v>
      </c>
      <c r="L40" s="21" t="s">
        <v>153</v>
      </c>
    </row>
    <row r="41" spans="1:12" x14ac:dyDescent="0.4">
      <c r="A41" s="20" t="s">
        <v>154</v>
      </c>
      <c r="B41" s="21" t="s">
        <v>155</v>
      </c>
      <c r="C41" s="20" t="s">
        <v>152</v>
      </c>
      <c r="D41" s="22">
        <v>275</v>
      </c>
      <c r="E41" s="20" t="s">
        <v>145</v>
      </c>
      <c r="F41" s="23"/>
      <c r="G41" s="24">
        <f t="shared" si="6"/>
        <v>0</v>
      </c>
      <c r="H41" s="25">
        <v>1.2E-2</v>
      </c>
      <c r="I41" s="26">
        <f t="shared" si="7"/>
        <v>3.3000000000000003</v>
      </c>
      <c r="J41" s="24">
        <f>I41*Sommaire!$C$6</f>
        <v>409.20000000000005</v>
      </c>
      <c r="K41" s="24">
        <f t="shared" si="8"/>
        <v>409.20000000000005</v>
      </c>
      <c r="L41" s="21" t="s">
        <v>156</v>
      </c>
    </row>
    <row r="42" spans="1:12" x14ac:dyDescent="0.4">
      <c r="A42" s="27"/>
      <c r="B42" s="28" t="s">
        <v>157</v>
      </c>
      <c r="C42" s="27"/>
      <c r="D42" s="27"/>
      <c r="E42" s="27"/>
      <c r="F42" s="27"/>
      <c r="G42" s="29">
        <f>SUM(G34:G41)</f>
        <v>0</v>
      </c>
      <c r="H42" s="27"/>
      <c r="I42" s="30">
        <f>SUM(I34:I41)</f>
        <v>66.8</v>
      </c>
      <c r="J42" s="29">
        <f>SUM(J34:J41)</f>
        <v>8283.2000000000007</v>
      </c>
      <c r="K42" s="29">
        <f>SUM(K34:K41)</f>
        <v>8283.2000000000007</v>
      </c>
      <c r="L42" s="27"/>
    </row>
    <row r="44" spans="1:12" x14ac:dyDescent="0.4">
      <c r="A44" s="15" t="s">
        <v>21</v>
      </c>
      <c r="B44" s="15" t="s">
        <v>22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 ht="37.299999999999997" x14ac:dyDescent="0.4">
      <c r="A45" s="20" t="s">
        <v>158</v>
      </c>
      <c r="B45" s="21" t="s">
        <v>159</v>
      </c>
      <c r="C45" s="20" t="s">
        <v>160</v>
      </c>
      <c r="D45" s="22">
        <v>18</v>
      </c>
      <c r="E45" s="20" t="s">
        <v>161</v>
      </c>
      <c r="F45" s="23"/>
      <c r="G45" s="24">
        <f t="shared" ref="G45:G60" si="9">D45*F45</f>
        <v>0</v>
      </c>
      <c r="H45" s="25">
        <v>1.5</v>
      </c>
      <c r="I45" s="26">
        <f t="shared" ref="I45:I60" si="10">D45*H45</f>
        <v>27</v>
      </c>
      <c r="J45" s="24">
        <f>I45*Sommaire!$C$6</f>
        <v>3348</v>
      </c>
      <c r="K45" s="24">
        <f t="shared" ref="K45:K60" si="11">G45+J45</f>
        <v>3348</v>
      </c>
      <c r="L45" s="21" t="s">
        <v>162</v>
      </c>
    </row>
    <row r="46" spans="1:12" ht="24.9" x14ac:dyDescent="0.4">
      <c r="A46" s="20" t="s">
        <v>163</v>
      </c>
      <c r="B46" s="21" t="s">
        <v>164</v>
      </c>
      <c r="C46" s="20" t="s">
        <v>160</v>
      </c>
      <c r="D46" s="22">
        <v>5</v>
      </c>
      <c r="E46" s="20" t="s">
        <v>60</v>
      </c>
      <c r="F46" s="23"/>
      <c r="G46" s="24">
        <f t="shared" si="9"/>
        <v>0</v>
      </c>
      <c r="H46" s="25">
        <v>1.5</v>
      </c>
      <c r="I46" s="26">
        <f t="shared" si="10"/>
        <v>7.5</v>
      </c>
      <c r="J46" s="24">
        <f>I46*Sommaire!$C$6</f>
        <v>930</v>
      </c>
      <c r="K46" s="24">
        <f t="shared" si="11"/>
        <v>930</v>
      </c>
      <c r="L46" s="21" t="s">
        <v>165</v>
      </c>
    </row>
    <row r="47" spans="1:12" x14ac:dyDescent="0.4">
      <c r="A47" s="20" t="s">
        <v>166</v>
      </c>
      <c r="B47" s="21" t="s">
        <v>167</v>
      </c>
      <c r="C47" s="20" t="s">
        <v>160</v>
      </c>
      <c r="D47" s="22">
        <v>2</v>
      </c>
      <c r="E47" s="20" t="s">
        <v>60</v>
      </c>
      <c r="F47" s="23"/>
      <c r="G47" s="24">
        <f t="shared" si="9"/>
        <v>0</v>
      </c>
      <c r="H47" s="25">
        <v>1</v>
      </c>
      <c r="I47" s="26">
        <f t="shared" si="10"/>
        <v>2</v>
      </c>
      <c r="J47" s="24">
        <f>I47*Sommaire!$C$6</f>
        <v>248</v>
      </c>
      <c r="K47" s="24">
        <f t="shared" si="11"/>
        <v>248</v>
      </c>
      <c r="L47" s="21" t="s">
        <v>168</v>
      </c>
    </row>
    <row r="48" spans="1:12" x14ac:dyDescent="0.4">
      <c r="A48" s="20" t="s">
        <v>169</v>
      </c>
      <c r="B48" s="21" t="s">
        <v>170</v>
      </c>
      <c r="C48" s="20" t="s">
        <v>160</v>
      </c>
      <c r="D48" s="22">
        <v>2</v>
      </c>
      <c r="E48" s="20" t="s">
        <v>60</v>
      </c>
      <c r="F48" s="23"/>
      <c r="G48" s="24">
        <f t="shared" si="9"/>
        <v>0</v>
      </c>
      <c r="H48" s="25">
        <v>1</v>
      </c>
      <c r="I48" s="26">
        <f t="shared" si="10"/>
        <v>2</v>
      </c>
      <c r="J48" s="24">
        <f>I48*Sommaire!$C$6</f>
        <v>248</v>
      </c>
      <c r="K48" s="24">
        <f t="shared" si="11"/>
        <v>248</v>
      </c>
      <c r="L48" s="21" t="s">
        <v>171</v>
      </c>
    </row>
    <row r="49" spans="1:12" x14ac:dyDescent="0.4">
      <c r="A49" s="20" t="s">
        <v>172</v>
      </c>
      <c r="B49" s="21" t="s">
        <v>173</v>
      </c>
      <c r="C49" s="20" t="s">
        <v>160</v>
      </c>
      <c r="D49" s="22">
        <v>1</v>
      </c>
      <c r="E49" s="20" t="s">
        <v>60</v>
      </c>
      <c r="F49" s="23"/>
      <c r="G49" s="24">
        <f t="shared" si="9"/>
        <v>0</v>
      </c>
      <c r="H49" s="25">
        <v>1</v>
      </c>
      <c r="I49" s="26">
        <f t="shared" si="10"/>
        <v>1</v>
      </c>
      <c r="J49" s="24">
        <f>I49*Sommaire!$C$6</f>
        <v>124</v>
      </c>
      <c r="K49" s="24">
        <f t="shared" si="11"/>
        <v>124</v>
      </c>
      <c r="L49" s="21"/>
    </row>
    <row r="50" spans="1:12" x14ac:dyDescent="0.4">
      <c r="A50" s="20" t="s">
        <v>174</v>
      </c>
      <c r="B50" s="21" t="s">
        <v>175</v>
      </c>
      <c r="C50" s="20" t="s">
        <v>160</v>
      </c>
      <c r="D50" s="22">
        <v>8</v>
      </c>
      <c r="E50" s="20" t="s">
        <v>60</v>
      </c>
      <c r="F50" s="23"/>
      <c r="G50" s="24">
        <f t="shared" si="9"/>
        <v>0</v>
      </c>
      <c r="H50" s="25">
        <v>0.75</v>
      </c>
      <c r="I50" s="26">
        <f t="shared" si="10"/>
        <v>6</v>
      </c>
      <c r="J50" s="24">
        <f>I50*Sommaire!$C$6</f>
        <v>744</v>
      </c>
      <c r="K50" s="24">
        <f t="shared" si="11"/>
        <v>744</v>
      </c>
      <c r="L50" s="21"/>
    </row>
    <row r="51" spans="1:12" x14ac:dyDescent="0.4">
      <c r="A51" s="20" t="s">
        <v>176</v>
      </c>
      <c r="B51" s="21" t="s">
        <v>177</v>
      </c>
      <c r="C51" s="20" t="s">
        <v>160</v>
      </c>
      <c r="D51" s="22">
        <v>1</v>
      </c>
      <c r="E51" s="20" t="s">
        <v>60</v>
      </c>
      <c r="F51" s="23"/>
      <c r="G51" s="24">
        <f t="shared" si="9"/>
        <v>0</v>
      </c>
      <c r="H51" s="25">
        <v>1</v>
      </c>
      <c r="I51" s="26">
        <f t="shared" si="10"/>
        <v>1</v>
      </c>
      <c r="J51" s="24">
        <f>I51*Sommaire!$C$6</f>
        <v>124</v>
      </c>
      <c r="K51" s="24">
        <f t="shared" si="11"/>
        <v>124</v>
      </c>
      <c r="L51" s="21"/>
    </row>
    <row r="52" spans="1:12" x14ac:dyDescent="0.4">
      <c r="A52" s="20" t="s">
        <v>178</v>
      </c>
      <c r="B52" s="21" t="s">
        <v>179</v>
      </c>
      <c r="C52" s="20" t="s">
        <v>160</v>
      </c>
      <c r="D52" s="22">
        <v>10</v>
      </c>
      <c r="E52" s="20" t="s">
        <v>60</v>
      </c>
      <c r="F52" s="23"/>
      <c r="G52" s="24">
        <f t="shared" si="9"/>
        <v>0</v>
      </c>
      <c r="H52" s="25">
        <v>0.75</v>
      </c>
      <c r="I52" s="26">
        <f t="shared" si="10"/>
        <v>7.5</v>
      </c>
      <c r="J52" s="24">
        <f>I52*Sommaire!$C$6</f>
        <v>930</v>
      </c>
      <c r="K52" s="24">
        <f t="shared" si="11"/>
        <v>930</v>
      </c>
      <c r="L52" s="21" t="s">
        <v>180</v>
      </c>
    </row>
    <row r="53" spans="1:12" x14ac:dyDescent="0.4">
      <c r="A53" s="20" t="s">
        <v>181</v>
      </c>
      <c r="B53" s="21" t="s">
        <v>182</v>
      </c>
      <c r="C53" s="20" t="s">
        <v>160</v>
      </c>
      <c r="D53" s="22">
        <v>1</v>
      </c>
      <c r="E53" s="20" t="s">
        <v>84</v>
      </c>
      <c r="F53" s="23"/>
      <c r="G53" s="24">
        <f t="shared" si="9"/>
        <v>0</v>
      </c>
      <c r="H53" s="25">
        <v>6</v>
      </c>
      <c r="I53" s="26">
        <f t="shared" si="10"/>
        <v>6</v>
      </c>
      <c r="J53" s="24">
        <f>I53*Sommaire!$C$6</f>
        <v>744</v>
      </c>
      <c r="K53" s="24">
        <f t="shared" si="11"/>
        <v>744</v>
      </c>
      <c r="L53" s="21"/>
    </row>
    <row r="54" spans="1:12" x14ac:dyDescent="0.4">
      <c r="A54" s="20" t="s">
        <v>183</v>
      </c>
      <c r="B54" s="21" t="s">
        <v>184</v>
      </c>
      <c r="C54" s="20" t="s">
        <v>160</v>
      </c>
      <c r="D54" s="22">
        <v>1</v>
      </c>
      <c r="E54" s="20" t="s">
        <v>60</v>
      </c>
      <c r="F54" s="23"/>
      <c r="G54" s="24">
        <f t="shared" si="9"/>
        <v>0</v>
      </c>
      <c r="H54" s="25">
        <v>2</v>
      </c>
      <c r="I54" s="26">
        <f t="shared" si="10"/>
        <v>2</v>
      </c>
      <c r="J54" s="24">
        <f>I54*Sommaire!$C$6</f>
        <v>248</v>
      </c>
      <c r="K54" s="24">
        <f t="shared" si="11"/>
        <v>248</v>
      </c>
      <c r="L54" s="21"/>
    </row>
    <row r="55" spans="1:12" x14ac:dyDescent="0.4">
      <c r="A55" s="20" t="s">
        <v>185</v>
      </c>
      <c r="B55" s="21" t="s">
        <v>186</v>
      </c>
      <c r="C55" s="20" t="s">
        <v>160</v>
      </c>
      <c r="D55" s="22">
        <v>1</v>
      </c>
      <c r="E55" s="20" t="s">
        <v>60</v>
      </c>
      <c r="F55" s="23"/>
      <c r="G55" s="24">
        <f t="shared" si="9"/>
        <v>0</v>
      </c>
      <c r="H55" s="25">
        <v>1</v>
      </c>
      <c r="I55" s="26">
        <f t="shared" si="10"/>
        <v>1</v>
      </c>
      <c r="J55" s="24">
        <f>I55*Sommaire!$C$6</f>
        <v>124</v>
      </c>
      <c r="K55" s="24">
        <f t="shared" si="11"/>
        <v>124</v>
      </c>
      <c r="L55" s="21" t="s">
        <v>187</v>
      </c>
    </row>
    <row r="56" spans="1:12" ht="24.9" x14ac:dyDescent="0.4">
      <c r="A56" s="20" t="s">
        <v>188</v>
      </c>
      <c r="B56" s="21" t="s">
        <v>189</v>
      </c>
      <c r="C56" s="20" t="s">
        <v>190</v>
      </c>
      <c r="D56" s="22">
        <v>16</v>
      </c>
      <c r="E56" s="20" t="s">
        <v>60</v>
      </c>
      <c r="F56" s="23"/>
      <c r="G56" s="24">
        <f t="shared" si="9"/>
        <v>0</v>
      </c>
      <c r="H56" s="25">
        <v>1.5</v>
      </c>
      <c r="I56" s="26">
        <f t="shared" si="10"/>
        <v>24</v>
      </c>
      <c r="J56" s="24">
        <f>I56*Sommaire!$C$6</f>
        <v>2976</v>
      </c>
      <c r="K56" s="24">
        <f t="shared" si="11"/>
        <v>2976</v>
      </c>
      <c r="L56" s="21" t="s">
        <v>191</v>
      </c>
    </row>
    <row r="57" spans="1:12" x14ac:dyDescent="0.4">
      <c r="A57" s="20" t="s">
        <v>192</v>
      </c>
      <c r="B57" s="21" t="s">
        <v>193</v>
      </c>
      <c r="C57" s="20" t="s">
        <v>194</v>
      </c>
      <c r="D57" s="22">
        <v>480</v>
      </c>
      <c r="E57" s="20" t="s">
        <v>145</v>
      </c>
      <c r="F57" s="23"/>
      <c r="G57" s="24">
        <f t="shared" si="9"/>
        <v>0</v>
      </c>
      <c r="H57" s="25">
        <v>0.12</v>
      </c>
      <c r="I57" s="26">
        <f t="shared" si="10"/>
        <v>57.599999999999994</v>
      </c>
      <c r="J57" s="24">
        <f>I57*Sommaire!$C$6</f>
        <v>7142.4</v>
      </c>
      <c r="K57" s="24">
        <f t="shared" si="11"/>
        <v>7142.4</v>
      </c>
      <c r="L57" s="21" t="s">
        <v>195</v>
      </c>
    </row>
    <row r="58" spans="1:12" x14ac:dyDescent="0.4">
      <c r="A58" s="20" t="s">
        <v>196</v>
      </c>
      <c r="B58" s="21" t="s">
        <v>197</v>
      </c>
      <c r="C58" s="20" t="s">
        <v>194</v>
      </c>
      <c r="D58" s="22">
        <v>330</v>
      </c>
      <c r="E58" s="20" t="s">
        <v>145</v>
      </c>
      <c r="F58" s="23"/>
      <c r="G58" s="24">
        <f t="shared" si="9"/>
        <v>0</v>
      </c>
      <c r="H58" s="25">
        <v>0.09</v>
      </c>
      <c r="I58" s="26">
        <f t="shared" si="10"/>
        <v>29.7</v>
      </c>
      <c r="J58" s="24">
        <f>I58*Sommaire!$C$6</f>
        <v>3682.7999999999997</v>
      </c>
      <c r="K58" s="24">
        <f t="shared" si="11"/>
        <v>3682.7999999999997</v>
      </c>
      <c r="L58" s="21" t="s">
        <v>195</v>
      </c>
    </row>
    <row r="59" spans="1:12" ht="24.9" x14ac:dyDescent="0.4">
      <c r="A59" s="20" t="s">
        <v>198</v>
      </c>
      <c r="B59" s="21" t="s">
        <v>199</v>
      </c>
      <c r="C59" s="20" t="s">
        <v>200</v>
      </c>
      <c r="D59" s="22">
        <v>2400</v>
      </c>
      <c r="E59" s="20" t="s">
        <v>145</v>
      </c>
      <c r="F59" s="23"/>
      <c r="G59" s="24">
        <f t="shared" si="9"/>
        <v>0</v>
      </c>
      <c r="H59" s="25">
        <v>1.2E-2</v>
      </c>
      <c r="I59" s="26">
        <f t="shared" si="10"/>
        <v>28.8</v>
      </c>
      <c r="J59" s="24">
        <f>I59*Sommaire!$C$6</f>
        <v>3571.2000000000003</v>
      </c>
      <c r="K59" s="24">
        <f t="shared" si="11"/>
        <v>3571.2000000000003</v>
      </c>
      <c r="L59" s="21" t="s">
        <v>201</v>
      </c>
    </row>
    <row r="60" spans="1:12" x14ac:dyDescent="0.4">
      <c r="A60" s="20" t="s">
        <v>202</v>
      </c>
      <c r="B60" s="21" t="s">
        <v>203</v>
      </c>
      <c r="C60" s="20" t="s">
        <v>160</v>
      </c>
      <c r="D60" s="22">
        <v>1</v>
      </c>
      <c r="E60" s="20" t="s">
        <v>84</v>
      </c>
      <c r="F60" s="23"/>
      <c r="G60" s="24">
        <f t="shared" si="9"/>
        <v>0</v>
      </c>
      <c r="H60" s="25">
        <v>8</v>
      </c>
      <c r="I60" s="26">
        <f t="shared" si="10"/>
        <v>8</v>
      </c>
      <c r="J60" s="24">
        <f>I60*Sommaire!$C$6</f>
        <v>992</v>
      </c>
      <c r="K60" s="24">
        <f t="shared" si="11"/>
        <v>992</v>
      </c>
      <c r="L60" s="21"/>
    </row>
    <row r="61" spans="1:12" x14ac:dyDescent="0.4">
      <c r="A61" s="27"/>
      <c r="B61" s="28" t="s">
        <v>204</v>
      </c>
      <c r="C61" s="27"/>
      <c r="D61" s="27"/>
      <c r="E61" s="27"/>
      <c r="F61" s="27"/>
      <c r="G61" s="29">
        <f>SUM(G45:G60)</f>
        <v>0</v>
      </c>
      <c r="H61" s="27"/>
      <c r="I61" s="30">
        <f>SUM(I45:I60)</f>
        <v>211.1</v>
      </c>
      <c r="J61" s="29">
        <f>SUM(J45:J60)</f>
        <v>26176.400000000001</v>
      </c>
      <c r="K61" s="29">
        <f>SUM(K45:K60)</f>
        <v>26176.400000000001</v>
      </c>
      <c r="L61" s="27"/>
    </row>
    <row r="63" spans="1:12" x14ac:dyDescent="0.4">
      <c r="A63" s="15" t="s">
        <v>23</v>
      </c>
      <c r="B63" s="15" t="s">
        <v>24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x14ac:dyDescent="0.4">
      <c r="A64" s="20" t="s">
        <v>205</v>
      </c>
      <c r="B64" s="21" t="s">
        <v>206</v>
      </c>
      <c r="C64" s="20" t="s">
        <v>207</v>
      </c>
      <c r="D64" s="22">
        <v>2</v>
      </c>
      <c r="E64" s="20" t="s">
        <v>161</v>
      </c>
      <c r="F64" s="23"/>
      <c r="G64" s="24">
        <f t="shared" ref="G64:G74" si="12">D64*F64</f>
        <v>0</v>
      </c>
      <c r="H64" s="25">
        <v>1.5</v>
      </c>
      <c r="I64" s="26">
        <f t="shared" ref="I64:I74" si="13">D64*H64</f>
        <v>3</v>
      </c>
      <c r="J64" s="24">
        <f>I64*Sommaire!$C$6</f>
        <v>372</v>
      </c>
      <c r="K64" s="24">
        <f t="shared" ref="K64:K74" si="14">G64+J64</f>
        <v>372</v>
      </c>
      <c r="L64" s="21"/>
    </row>
    <row r="65" spans="1:12" x14ac:dyDescent="0.4">
      <c r="A65" s="20" t="s">
        <v>208</v>
      </c>
      <c r="B65" s="21" t="s">
        <v>209</v>
      </c>
      <c r="C65" s="20" t="s">
        <v>210</v>
      </c>
      <c r="D65" s="22">
        <v>2</v>
      </c>
      <c r="E65" s="20" t="s">
        <v>60</v>
      </c>
      <c r="F65" s="23"/>
      <c r="G65" s="24">
        <f t="shared" si="12"/>
        <v>0</v>
      </c>
      <c r="H65" s="25">
        <v>2.5</v>
      </c>
      <c r="I65" s="26">
        <f t="shared" si="13"/>
        <v>5</v>
      </c>
      <c r="J65" s="24">
        <f>I65*Sommaire!$C$6</f>
        <v>620</v>
      </c>
      <c r="K65" s="24">
        <f t="shared" si="14"/>
        <v>620</v>
      </c>
      <c r="L65" s="21" t="s">
        <v>211</v>
      </c>
    </row>
    <row r="66" spans="1:12" x14ac:dyDescent="0.4">
      <c r="A66" s="20" t="s">
        <v>212</v>
      </c>
      <c r="B66" s="21" t="s">
        <v>213</v>
      </c>
      <c r="C66" s="20" t="s">
        <v>214</v>
      </c>
      <c r="D66" s="22">
        <v>2</v>
      </c>
      <c r="E66" s="20" t="s">
        <v>60</v>
      </c>
      <c r="F66" s="23"/>
      <c r="G66" s="24">
        <f t="shared" si="12"/>
        <v>0</v>
      </c>
      <c r="H66" s="25">
        <v>2.5</v>
      </c>
      <c r="I66" s="26">
        <f t="shared" si="13"/>
        <v>5</v>
      </c>
      <c r="J66" s="24">
        <f>I66*Sommaire!$C$6</f>
        <v>620</v>
      </c>
      <c r="K66" s="24">
        <f t="shared" si="14"/>
        <v>620</v>
      </c>
      <c r="L66" s="21" t="s">
        <v>215</v>
      </c>
    </row>
    <row r="67" spans="1:12" x14ac:dyDescent="0.4">
      <c r="A67" s="20" t="s">
        <v>216</v>
      </c>
      <c r="B67" s="21" t="s">
        <v>217</v>
      </c>
      <c r="C67" s="20" t="s">
        <v>207</v>
      </c>
      <c r="D67" s="22">
        <v>3</v>
      </c>
      <c r="E67" s="20" t="s">
        <v>60</v>
      </c>
      <c r="F67" s="23"/>
      <c r="G67" s="24">
        <f t="shared" si="12"/>
        <v>0</v>
      </c>
      <c r="H67" s="25">
        <v>1</v>
      </c>
      <c r="I67" s="26">
        <f t="shared" si="13"/>
        <v>3</v>
      </c>
      <c r="J67" s="24">
        <f>I67*Sommaire!$C$6</f>
        <v>372</v>
      </c>
      <c r="K67" s="24">
        <f t="shared" si="14"/>
        <v>372</v>
      </c>
      <c r="L67" s="21"/>
    </row>
    <row r="68" spans="1:12" x14ac:dyDescent="0.4">
      <c r="A68" s="20" t="s">
        <v>218</v>
      </c>
      <c r="B68" s="21" t="s">
        <v>219</v>
      </c>
      <c r="C68" s="20" t="s">
        <v>207</v>
      </c>
      <c r="D68" s="22">
        <v>1</v>
      </c>
      <c r="E68" s="20" t="s">
        <v>60</v>
      </c>
      <c r="F68" s="23"/>
      <c r="G68" s="24">
        <f t="shared" si="12"/>
        <v>0</v>
      </c>
      <c r="H68" s="25">
        <v>1</v>
      </c>
      <c r="I68" s="26">
        <f t="shared" si="13"/>
        <v>1</v>
      </c>
      <c r="J68" s="24">
        <f>I68*Sommaire!$C$6</f>
        <v>124</v>
      </c>
      <c r="K68" s="24">
        <f t="shared" si="14"/>
        <v>124</v>
      </c>
      <c r="L68" s="21"/>
    </row>
    <row r="69" spans="1:12" x14ac:dyDescent="0.4">
      <c r="A69" s="20" t="s">
        <v>220</v>
      </c>
      <c r="B69" s="21" t="s">
        <v>221</v>
      </c>
      <c r="C69" s="20" t="s">
        <v>207</v>
      </c>
      <c r="D69" s="22">
        <v>3</v>
      </c>
      <c r="E69" s="20" t="s">
        <v>60</v>
      </c>
      <c r="F69" s="23"/>
      <c r="G69" s="24">
        <f t="shared" si="12"/>
        <v>0</v>
      </c>
      <c r="H69" s="25">
        <v>1</v>
      </c>
      <c r="I69" s="26">
        <f t="shared" si="13"/>
        <v>3</v>
      </c>
      <c r="J69" s="24">
        <f>I69*Sommaire!$C$6</f>
        <v>372</v>
      </c>
      <c r="K69" s="24">
        <f t="shared" si="14"/>
        <v>372</v>
      </c>
      <c r="L69" s="21"/>
    </row>
    <row r="70" spans="1:12" x14ac:dyDescent="0.4">
      <c r="A70" s="20" t="s">
        <v>222</v>
      </c>
      <c r="B70" s="21" t="s">
        <v>223</v>
      </c>
      <c r="C70" s="20" t="s">
        <v>224</v>
      </c>
      <c r="D70" s="22">
        <v>7</v>
      </c>
      <c r="E70" s="20" t="s">
        <v>60</v>
      </c>
      <c r="F70" s="23"/>
      <c r="G70" s="24">
        <f t="shared" si="12"/>
        <v>0</v>
      </c>
      <c r="H70" s="25">
        <v>1.5</v>
      </c>
      <c r="I70" s="26">
        <f t="shared" si="13"/>
        <v>10.5</v>
      </c>
      <c r="J70" s="24">
        <f>I70*Sommaire!$C$6</f>
        <v>1302</v>
      </c>
      <c r="K70" s="24">
        <f t="shared" si="14"/>
        <v>1302</v>
      </c>
      <c r="L70" s="21"/>
    </row>
    <row r="71" spans="1:12" x14ac:dyDescent="0.4">
      <c r="A71" s="20" t="s">
        <v>225</v>
      </c>
      <c r="B71" s="21" t="s">
        <v>226</v>
      </c>
      <c r="C71" s="20" t="s">
        <v>224</v>
      </c>
      <c r="D71" s="22">
        <v>175</v>
      </c>
      <c r="E71" s="20" t="s">
        <v>145</v>
      </c>
      <c r="F71" s="23"/>
      <c r="G71" s="24">
        <f t="shared" si="12"/>
        <v>0</v>
      </c>
      <c r="H71" s="25">
        <v>0.12</v>
      </c>
      <c r="I71" s="26">
        <f t="shared" si="13"/>
        <v>21</v>
      </c>
      <c r="J71" s="24">
        <f>I71*Sommaire!$C$6</f>
        <v>2604</v>
      </c>
      <c r="K71" s="24">
        <f t="shared" si="14"/>
        <v>2604</v>
      </c>
      <c r="L71" s="21" t="s">
        <v>227</v>
      </c>
    </row>
    <row r="72" spans="1:12" x14ac:dyDescent="0.4">
      <c r="A72" s="20" t="s">
        <v>228</v>
      </c>
      <c r="B72" s="21" t="s">
        <v>229</v>
      </c>
      <c r="C72" s="20" t="s">
        <v>224</v>
      </c>
      <c r="D72" s="22">
        <v>175</v>
      </c>
      <c r="E72" s="20" t="s">
        <v>145</v>
      </c>
      <c r="F72" s="23"/>
      <c r="G72" s="24">
        <f t="shared" si="12"/>
        <v>0</v>
      </c>
      <c r="H72" s="25">
        <v>0.09</v>
      </c>
      <c r="I72" s="26">
        <f t="shared" si="13"/>
        <v>15.75</v>
      </c>
      <c r="J72" s="24">
        <f>I72*Sommaire!$C$6</f>
        <v>1953</v>
      </c>
      <c r="K72" s="24">
        <f t="shared" si="14"/>
        <v>1953</v>
      </c>
      <c r="L72" s="21" t="s">
        <v>227</v>
      </c>
    </row>
    <row r="73" spans="1:12" x14ac:dyDescent="0.4">
      <c r="A73" s="20" t="s">
        <v>230</v>
      </c>
      <c r="B73" s="21" t="s">
        <v>231</v>
      </c>
      <c r="C73" s="20" t="s">
        <v>207</v>
      </c>
      <c r="D73" s="22">
        <v>875</v>
      </c>
      <c r="E73" s="20" t="s">
        <v>145</v>
      </c>
      <c r="F73" s="23"/>
      <c r="G73" s="24">
        <f t="shared" si="12"/>
        <v>0</v>
      </c>
      <c r="H73" s="25">
        <v>1.2E-2</v>
      </c>
      <c r="I73" s="26">
        <f t="shared" si="13"/>
        <v>10.5</v>
      </c>
      <c r="J73" s="24">
        <f>I73*Sommaire!$C$6</f>
        <v>1302</v>
      </c>
      <c r="K73" s="24">
        <f t="shared" si="14"/>
        <v>1302</v>
      </c>
      <c r="L73" s="21" t="s">
        <v>232</v>
      </c>
    </row>
    <row r="74" spans="1:12" x14ac:dyDescent="0.4">
      <c r="A74" s="20" t="s">
        <v>233</v>
      </c>
      <c r="B74" s="21" t="s">
        <v>234</v>
      </c>
      <c r="C74" s="20" t="s">
        <v>207</v>
      </c>
      <c r="D74" s="22">
        <v>1</v>
      </c>
      <c r="E74" s="20" t="s">
        <v>84</v>
      </c>
      <c r="F74" s="23"/>
      <c r="G74" s="24">
        <f t="shared" si="12"/>
        <v>0</v>
      </c>
      <c r="H74" s="25">
        <v>4</v>
      </c>
      <c r="I74" s="26">
        <f t="shared" si="13"/>
        <v>4</v>
      </c>
      <c r="J74" s="24">
        <f>I74*Sommaire!$C$6</f>
        <v>496</v>
      </c>
      <c r="K74" s="24">
        <f t="shared" si="14"/>
        <v>496</v>
      </c>
      <c r="L74" s="21"/>
    </row>
    <row r="75" spans="1:12" x14ac:dyDescent="0.4">
      <c r="A75" s="27"/>
      <c r="B75" s="28" t="s">
        <v>235</v>
      </c>
      <c r="C75" s="27"/>
      <c r="D75" s="27"/>
      <c r="E75" s="27"/>
      <c r="F75" s="27"/>
      <c r="G75" s="29">
        <f>SUM(G64:G74)</f>
        <v>0</v>
      </c>
      <c r="H75" s="27"/>
      <c r="I75" s="30">
        <f>SUM(I64:I74)</f>
        <v>81.75</v>
      </c>
      <c r="J75" s="29">
        <f>SUM(J64:J74)</f>
        <v>10137</v>
      </c>
      <c r="K75" s="29">
        <f>SUM(K64:K74)</f>
        <v>10137</v>
      </c>
      <c r="L75" s="27"/>
    </row>
    <row r="77" spans="1:12" x14ac:dyDescent="0.4">
      <c r="A77" s="15" t="s">
        <v>25</v>
      </c>
      <c r="B77" s="15" t="s">
        <v>26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x14ac:dyDescent="0.4">
      <c r="A78" s="20" t="s">
        <v>236</v>
      </c>
      <c r="B78" s="21" t="s">
        <v>237</v>
      </c>
      <c r="C78" s="20" t="s">
        <v>238</v>
      </c>
      <c r="D78" s="22">
        <v>11</v>
      </c>
      <c r="E78" s="20" t="s">
        <v>60</v>
      </c>
      <c r="F78" s="23"/>
      <c r="G78" s="24">
        <f t="shared" ref="G78:G87" si="15">D78*F78</f>
        <v>0</v>
      </c>
      <c r="H78" s="25">
        <v>1</v>
      </c>
      <c r="I78" s="26">
        <f t="shared" ref="I78:I87" si="16">D78*H78</f>
        <v>11</v>
      </c>
      <c r="J78" s="24">
        <f>I78*Sommaire!$C$6</f>
        <v>1364</v>
      </c>
      <c r="K78" s="24">
        <f t="shared" ref="K78:K87" si="17">G78+J78</f>
        <v>1364</v>
      </c>
      <c r="L78" s="21" t="s">
        <v>239</v>
      </c>
    </row>
    <row r="79" spans="1:12" ht="24.9" x14ac:dyDescent="0.4">
      <c r="A79" s="20" t="s">
        <v>240</v>
      </c>
      <c r="B79" s="21" t="s">
        <v>241</v>
      </c>
      <c r="C79" s="20" t="s">
        <v>238</v>
      </c>
      <c r="D79" s="22">
        <v>12</v>
      </c>
      <c r="E79" s="20" t="s">
        <v>60</v>
      </c>
      <c r="F79" s="23"/>
      <c r="G79" s="24">
        <f t="shared" si="15"/>
        <v>0</v>
      </c>
      <c r="H79" s="25">
        <v>0.75</v>
      </c>
      <c r="I79" s="26">
        <f t="shared" si="16"/>
        <v>9</v>
      </c>
      <c r="J79" s="24">
        <f>I79*Sommaire!$C$6</f>
        <v>1116</v>
      </c>
      <c r="K79" s="24">
        <f t="shared" si="17"/>
        <v>1116</v>
      </c>
      <c r="L79" s="21"/>
    </row>
    <row r="80" spans="1:12" x14ac:dyDescent="0.4">
      <c r="A80" s="20" t="s">
        <v>242</v>
      </c>
      <c r="B80" s="21" t="s">
        <v>243</v>
      </c>
      <c r="C80" s="20" t="s">
        <v>238</v>
      </c>
      <c r="D80" s="22">
        <v>6</v>
      </c>
      <c r="E80" s="20" t="s">
        <v>60</v>
      </c>
      <c r="F80" s="23"/>
      <c r="G80" s="24">
        <f t="shared" si="15"/>
        <v>0</v>
      </c>
      <c r="H80" s="25">
        <v>0.5</v>
      </c>
      <c r="I80" s="26">
        <f t="shared" si="16"/>
        <v>3</v>
      </c>
      <c r="J80" s="24">
        <f>I80*Sommaire!$C$6</f>
        <v>372</v>
      </c>
      <c r="K80" s="24">
        <f t="shared" si="17"/>
        <v>372</v>
      </c>
      <c r="L80" s="21"/>
    </row>
    <row r="81" spans="1:12" x14ac:dyDescent="0.4">
      <c r="A81" s="20" t="s">
        <v>244</v>
      </c>
      <c r="B81" s="21" t="s">
        <v>245</v>
      </c>
      <c r="C81" s="20" t="s">
        <v>238</v>
      </c>
      <c r="D81" s="22">
        <v>15</v>
      </c>
      <c r="E81" s="20" t="s">
        <v>60</v>
      </c>
      <c r="F81" s="23"/>
      <c r="G81" s="24">
        <f t="shared" si="15"/>
        <v>0</v>
      </c>
      <c r="H81" s="25">
        <v>0.6</v>
      </c>
      <c r="I81" s="26">
        <f t="shared" si="16"/>
        <v>9</v>
      </c>
      <c r="J81" s="24">
        <f>I81*Sommaire!$C$6</f>
        <v>1116</v>
      </c>
      <c r="K81" s="24">
        <f t="shared" si="17"/>
        <v>1116</v>
      </c>
      <c r="L81" s="21"/>
    </row>
    <row r="82" spans="1:12" ht="24.9" x14ac:dyDescent="0.4">
      <c r="A82" s="20" t="s">
        <v>246</v>
      </c>
      <c r="B82" s="21" t="s">
        <v>247</v>
      </c>
      <c r="C82" s="20" t="s">
        <v>248</v>
      </c>
      <c r="D82" s="22">
        <v>20</v>
      </c>
      <c r="E82" s="20" t="s">
        <v>249</v>
      </c>
      <c r="F82" s="23"/>
      <c r="G82" s="24">
        <f t="shared" si="15"/>
        <v>0</v>
      </c>
      <c r="H82" s="25">
        <v>1</v>
      </c>
      <c r="I82" s="26">
        <f t="shared" si="16"/>
        <v>20</v>
      </c>
      <c r="J82" s="24">
        <f>I82*Sommaire!$C$6</f>
        <v>2480</v>
      </c>
      <c r="K82" s="24">
        <f t="shared" si="17"/>
        <v>2480</v>
      </c>
      <c r="L82" s="21" t="s">
        <v>250</v>
      </c>
    </row>
    <row r="83" spans="1:12" x14ac:dyDescent="0.4">
      <c r="A83" s="20" t="s">
        <v>251</v>
      </c>
      <c r="B83" s="21" t="s">
        <v>252</v>
      </c>
      <c r="C83" s="20" t="s">
        <v>238</v>
      </c>
      <c r="D83" s="22">
        <v>4</v>
      </c>
      <c r="E83" s="20" t="s">
        <v>60</v>
      </c>
      <c r="F83" s="23"/>
      <c r="G83" s="24">
        <f t="shared" si="15"/>
        <v>0</v>
      </c>
      <c r="H83" s="25">
        <v>1.25</v>
      </c>
      <c r="I83" s="26">
        <f t="shared" si="16"/>
        <v>5</v>
      </c>
      <c r="J83" s="24">
        <f>I83*Sommaire!$C$6</f>
        <v>620</v>
      </c>
      <c r="K83" s="24">
        <f t="shared" si="17"/>
        <v>620</v>
      </c>
      <c r="L83" s="21"/>
    </row>
    <row r="84" spans="1:12" x14ac:dyDescent="0.4">
      <c r="A84" s="20" t="s">
        <v>253</v>
      </c>
      <c r="B84" s="21" t="s">
        <v>254</v>
      </c>
      <c r="C84" s="20" t="s">
        <v>238</v>
      </c>
      <c r="D84" s="22">
        <v>3</v>
      </c>
      <c r="E84" s="20" t="s">
        <v>60</v>
      </c>
      <c r="F84" s="23"/>
      <c r="G84" s="24">
        <f t="shared" si="15"/>
        <v>0</v>
      </c>
      <c r="H84" s="25">
        <v>1.5</v>
      </c>
      <c r="I84" s="26">
        <f t="shared" si="16"/>
        <v>4.5</v>
      </c>
      <c r="J84" s="24">
        <f>I84*Sommaire!$C$6</f>
        <v>558</v>
      </c>
      <c r="K84" s="24">
        <f t="shared" si="17"/>
        <v>558</v>
      </c>
      <c r="L84" s="21" t="s">
        <v>255</v>
      </c>
    </row>
    <row r="85" spans="1:12" ht="24.9" x14ac:dyDescent="0.4">
      <c r="A85" s="20" t="s">
        <v>256</v>
      </c>
      <c r="B85" s="21" t="s">
        <v>257</v>
      </c>
      <c r="C85" s="20" t="s">
        <v>258</v>
      </c>
      <c r="D85" s="22">
        <v>280</v>
      </c>
      <c r="E85" s="20" t="s">
        <v>145</v>
      </c>
      <c r="F85" s="23"/>
      <c r="G85" s="24">
        <f t="shared" si="15"/>
        <v>0</v>
      </c>
      <c r="H85" s="25">
        <v>0.08</v>
      </c>
      <c r="I85" s="26">
        <f t="shared" si="16"/>
        <v>22.400000000000002</v>
      </c>
      <c r="J85" s="24">
        <f>I85*Sommaire!$C$6</f>
        <v>2777.6000000000004</v>
      </c>
      <c r="K85" s="24">
        <f t="shared" si="17"/>
        <v>2777.6000000000004</v>
      </c>
      <c r="L85" s="21" t="s">
        <v>259</v>
      </c>
    </row>
    <row r="86" spans="1:12" x14ac:dyDescent="0.4">
      <c r="A86" s="20" t="s">
        <v>260</v>
      </c>
      <c r="B86" s="21" t="s">
        <v>261</v>
      </c>
      <c r="C86" s="20" t="s">
        <v>258</v>
      </c>
      <c r="D86" s="22">
        <v>840</v>
      </c>
      <c r="E86" s="20" t="s">
        <v>145</v>
      </c>
      <c r="F86" s="23"/>
      <c r="G86" s="24">
        <f t="shared" si="15"/>
        <v>0</v>
      </c>
      <c r="H86" s="25">
        <v>1.2E-2</v>
      </c>
      <c r="I86" s="26">
        <f t="shared" si="16"/>
        <v>10.08</v>
      </c>
      <c r="J86" s="24">
        <f>I86*Sommaire!$C$6</f>
        <v>1249.92</v>
      </c>
      <c r="K86" s="24">
        <f t="shared" si="17"/>
        <v>1249.92</v>
      </c>
      <c r="L86" s="21"/>
    </row>
    <row r="87" spans="1:12" x14ac:dyDescent="0.4">
      <c r="A87" s="20" t="s">
        <v>262</v>
      </c>
      <c r="B87" s="21" t="s">
        <v>263</v>
      </c>
      <c r="C87" s="20" t="s">
        <v>264</v>
      </c>
      <c r="D87" s="22">
        <v>1</v>
      </c>
      <c r="E87" s="20" t="s">
        <v>84</v>
      </c>
      <c r="F87" s="23"/>
      <c r="G87" s="24">
        <f t="shared" si="15"/>
        <v>0</v>
      </c>
      <c r="H87" s="25">
        <v>8</v>
      </c>
      <c r="I87" s="26">
        <f t="shared" si="16"/>
        <v>8</v>
      </c>
      <c r="J87" s="24">
        <f>I87*Sommaire!$C$6</f>
        <v>992</v>
      </c>
      <c r="K87" s="24">
        <f t="shared" si="17"/>
        <v>992</v>
      </c>
      <c r="L87" s="21"/>
    </row>
    <row r="88" spans="1:12" x14ac:dyDescent="0.4">
      <c r="A88" s="27"/>
      <c r="B88" s="28" t="s">
        <v>265</v>
      </c>
      <c r="C88" s="27"/>
      <c r="D88" s="27"/>
      <c r="E88" s="27"/>
      <c r="F88" s="27"/>
      <c r="G88" s="29">
        <f>SUM(G78:G87)</f>
        <v>0</v>
      </c>
      <c r="H88" s="27"/>
      <c r="I88" s="30">
        <f>SUM(I78:I87)</f>
        <v>101.98</v>
      </c>
      <c r="J88" s="29">
        <f>SUM(J78:J87)</f>
        <v>12645.52</v>
      </c>
      <c r="K88" s="29">
        <f>SUM(K78:K87)</f>
        <v>12645.52</v>
      </c>
      <c r="L88" s="27"/>
    </row>
    <row r="90" spans="1:12" x14ac:dyDescent="0.4">
      <c r="A90" s="15" t="s">
        <v>27</v>
      </c>
      <c r="B90" s="15" t="s">
        <v>28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1:12" ht="24.9" x14ac:dyDescent="0.4">
      <c r="A91" s="20" t="s">
        <v>266</v>
      </c>
      <c r="B91" s="21" t="s">
        <v>267</v>
      </c>
      <c r="C91" s="20" t="s">
        <v>258</v>
      </c>
      <c r="D91" s="22">
        <v>2</v>
      </c>
      <c r="E91" s="20" t="s">
        <v>60</v>
      </c>
      <c r="F91" s="23"/>
      <c r="G91" s="24">
        <f t="shared" ref="G91:G97" si="18">D91*F91</f>
        <v>0</v>
      </c>
      <c r="H91" s="25">
        <v>1.5</v>
      </c>
      <c r="I91" s="26">
        <f t="shared" ref="I91:I97" si="19">D91*H91</f>
        <v>3</v>
      </c>
      <c r="J91" s="24">
        <f>I91*Sommaire!$C$6</f>
        <v>372</v>
      </c>
      <c r="K91" s="24">
        <f t="shared" ref="K91:K97" si="20">G91+J91</f>
        <v>372</v>
      </c>
      <c r="L91" s="21" t="s">
        <v>268</v>
      </c>
    </row>
    <row r="92" spans="1:12" x14ac:dyDescent="0.4">
      <c r="A92" s="20" t="s">
        <v>269</v>
      </c>
      <c r="B92" s="21" t="s">
        <v>270</v>
      </c>
      <c r="C92" s="20" t="s">
        <v>258</v>
      </c>
      <c r="D92" s="22">
        <v>30</v>
      </c>
      <c r="E92" s="20" t="s">
        <v>145</v>
      </c>
      <c r="F92" s="23"/>
      <c r="G92" s="24">
        <f t="shared" si="18"/>
        <v>0</v>
      </c>
      <c r="H92" s="25">
        <v>0.09</v>
      </c>
      <c r="I92" s="26">
        <f t="shared" si="19"/>
        <v>2.6999999999999997</v>
      </c>
      <c r="J92" s="24">
        <f>I92*Sommaire!$C$6</f>
        <v>334.79999999999995</v>
      </c>
      <c r="K92" s="24">
        <f t="shared" si="20"/>
        <v>334.79999999999995</v>
      </c>
      <c r="L92" s="21" t="s">
        <v>271</v>
      </c>
    </row>
    <row r="93" spans="1:12" x14ac:dyDescent="0.4">
      <c r="A93" s="20" t="s">
        <v>272</v>
      </c>
      <c r="B93" s="21" t="s">
        <v>273</v>
      </c>
      <c r="C93" s="20" t="s">
        <v>258</v>
      </c>
      <c r="D93" s="22">
        <v>60</v>
      </c>
      <c r="E93" s="20" t="s">
        <v>145</v>
      </c>
      <c r="F93" s="23"/>
      <c r="G93" s="24">
        <f t="shared" si="18"/>
        <v>0</v>
      </c>
      <c r="H93" s="25">
        <v>1.4999999999999999E-2</v>
      </c>
      <c r="I93" s="26">
        <f t="shared" si="19"/>
        <v>0.89999999999999991</v>
      </c>
      <c r="J93" s="24">
        <f>I93*Sommaire!$C$6</f>
        <v>111.6</v>
      </c>
      <c r="K93" s="24">
        <f t="shared" si="20"/>
        <v>111.6</v>
      </c>
      <c r="L93" s="21" t="s">
        <v>271</v>
      </c>
    </row>
    <row r="94" spans="1:12" ht="24.9" x14ac:dyDescent="0.4">
      <c r="A94" s="20" t="s">
        <v>274</v>
      </c>
      <c r="B94" s="21" t="s">
        <v>275</v>
      </c>
      <c r="C94" s="20" t="s">
        <v>276</v>
      </c>
      <c r="D94" s="22">
        <v>1</v>
      </c>
      <c r="E94" s="20" t="s">
        <v>60</v>
      </c>
      <c r="F94" s="23"/>
      <c r="G94" s="24">
        <f t="shared" si="18"/>
        <v>0</v>
      </c>
      <c r="H94" s="25">
        <v>6</v>
      </c>
      <c r="I94" s="26">
        <f t="shared" si="19"/>
        <v>6</v>
      </c>
      <c r="J94" s="24">
        <f>I94*Sommaire!$C$6</f>
        <v>744</v>
      </c>
      <c r="K94" s="24">
        <f t="shared" si="20"/>
        <v>744</v>
      </c>
      <c r="L94" s="21" t="s">
        <v>277</v>
      </c>
    </row>
    <row r="95" spans="1:12" x14ac:dyDescent="0.4">
      <c r="A95" s="20" t="s">
        <v>278</v>
      </c>
      <c r="B95" s="21" t="s">
        <v>279</v>
      </c>
      <c r="C95" s="20" t="s">
        <v>280</v>
      </c>
      <c r="D95" s="22">
        <v>1</v>
      </c>
      <c r="E95" s="20" t="s">
        <v>84</v>
      </c>
      <c r="F95" s="23"/>
      <c r="G95" s="24">
        <f t="shared" si="18"/>
        <v>0</v>
      </c>
      <c r="H95" s="25">
        <v>12</v>
      </c>
      <c r="I95" s="26">
        <f t="shared" si="19"/>
        <v>12</v>
      </c>
      <c r="J95" s="24">
        <f>I95*Sommaire!$C$6</f>
        <v>1488</v>
      </c>
      <c r="K95" s="24">
        <f t="shared" si="20"/>
        <v>1488</v>
      </c>
      <c r="L95" s="21" t="s">
        <v>281</v>
      </c>
    </row>
    <row r="96" spans="1:12" x14ac:dyDescent="0.4">
      <c r="A96" s="20" t="s">
        <v>282</v>
      </c>
      <c r="B96" s="21" t="s">
        <v>283</v>
      </c>
      <c r="C96" s="20" t="s">
        <v>284</v>
      </c>
      <c r="D96" s="22">
        <v>1</v>
      </c>
      <c r="E96" s="20" t="s">
        <v>84</v>
      </c>
      <c r="F96" s="23"/>
      <c r="G96" s="24">
        <f t="shared" si="18"/>
        <v>0</v>
      </c>
      <c r="H96" s="25">
        <v>8</v>
      </c>
      <c r="I96" s="26">
        <f t="shared" si="19"/>
        <v>8</v>
      </c>
      <c r="J96" s="24">
        <f>I96*Sommaire!$C$6</f>
        <v>992</v>
      </c>
      <c r="K96" s="24">
        <f t="shared" si="20"/>
        <v>992</v>
      </c>
      <c r="L96" s="21"/>
    </row>
    <row r="97" spans="1:12" ht="24.9" x14ac:dyDescent="0.4">
      <c r="A97" s="20" t="s">
        <v>285</v>
      </c>
      <c r="B97" s="21" t="s">
        <v>286</v>
      </c>
      <c r="C97" s="20" t="s">
        <v>287</v>
      </c>
      <c r="D97" s="22">
        <v>1</v>
      </c>
      <c r="E97" s="20" t="s">
        <v>84</v>
      </c>
      <c r="F97" s="23"/>
      <c r="G97" s="24">
        <f t="shared" si="18"/>
        <v>0</v>
      </c>
      <c r="H97" s="25">
        <v>0</v>
      </c>
      <c r="I97" s="26">
        <f t="shared" si="19"/>
        <v>0</v>
      </c>
      <c r="J97" s="24">
        <f>I97*Sommaire!$C$6</f>
        <v>0</v>
      </c>
      <c r="K97" s="24">
        <f t="shared" si="20"/>
        <v>0</v>
      </c>
      <c r="L97" s="21" t="s">
        <v>288</v>
      </c>
    </row>
    <row r="98" spans="1:12" x14ac:dyDescent="0.4">
      <c r="A98" s="27"/>
      <c r="B98" s="28" t="s">
        <v>289</v>
      </c>
      <c r="C98" s="27"/>
      <c r="D98" s="27"/>
      <c r="E98" s="27"/>
      <c r="F98" s="27"/>
      <c r="G98" s="29">
        <f>SUM(G91:G97)</f>
        <v>0</v>
      </c>
      <c r="H98" s="27"/>
      <c r="I98" s="30">
        <f>SUM(I91:I97)</f>
        <v>32.6</v>
      </c>
      <c r="J98" s="29">
        <f>SUM(J91:J97)</f>
        <v>4042.4</v>
      </c>
      <c r="K98" s="29">
        <f>SUM(K91:K97)</f>
        <v>4042.4</v>
      </c>
      <c r="L98" s="27"/>
    </row>
    <row r="100" spans="1:12" x14ac:dyDescent="0.4">
      <c r="A100" s="15" t="s">
        <v>29</v>
      </c>
      <c r="B100" s="15" t="s">
        <v>30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x14ac:dyDescent="0.4">
      <c r="A101" s="20" t="s">
        <v>290</v>
      </c>
      <c r="B101" s="21" t="s">
        <v>291</v>
      </c>
      <c r="C101" s="20"/>
      <c r="D101" s="22">
        <v>1</v>
      </c>
      <c r="E101" s="20" t="s">
        <v>84</v>
      </c>
      <c r="F101" s="23"/>
      <c r="G101" s="24">
        <f>D101*F101</f>
        <v>0</v>
      </c>
      <c r="H101" s="25">
        <v>16</v>
      </c>
      <c r="I101" s="26">
        <f>D101*H101</f>
        <v>16</v>
      </c>
      <c r="J101" s="24">
        <f>I101*Sommaire!$C$6</f>
        <v>1984</v>
      </c>
      <c r="K101" s="24">
        <f>G101+J101</f>
        <v>1984</v>
      </c>
      <c r="L101" s="21" t="s">
        <v>100</v>
      </c>
    </row>
    <row r="102" spans="1:12" x14ac:dyDescent="0.4">
      <c r="A102" s="20" t="s">
        <v>292</v>
      </c>
      <c r="B102" s="21" t="s">
        <v>293</v>
      </c>
      <c r="C102" s="20" t="s">
        <v>294</v>
      </c>
      <c r="D102" s="22">
        <v>1</v>
      </c>
      <c r="E102" s="20" t="s">
        <v>84</v>
      </c>
      <c r="F102" s="23"/>
      <c r="G102" s="24">
        <f>D102*F102</f>
        <v>0</v>
      </c>
      <c r="H102" s="25">
        <v>20</v>
      </c>
      <c r="I102" s="26">
        <f>D102*H102</f>
        <v>20</v>
      </c>
      <c r="J102" s="24">
        <f>I102*Sommaire!$C$6</f>
        <v>2480</v>
      </c>
      <c r="K102" s="24">
        <f>G102+J102</f>
        <v>2480</v>
      </c>
      <c r="L102" s="21" t="s">
        <v>100</v>
      </c>
    </row>
    <row r="103" spans="1:12" x14ac:dyDescent="0.4">
      <c r="A103" s="20" t="s">
        <v>295</v>
      </c>
      <c r="B103" s="21" t="s">
        <v>296</v>
      </c>
      <c r="C103" s="20" t="s">
        <v>297</v>
      </c>
      <c r="D103" s="22">
        <v>1</v>
      </c>
      <c r="E103" s="20" t="s">
        <v>84</v>
      </c>
      <c r="F103" s="23"/>
      <c r="G103" s="24">
        <f>D103*F103</f>
        <v>0</v>
      </c>
      <c r="H103" s="25">
        <v>12</v>
      </c>
      <c r="I103" s="26">
        <f>D103*H103</f>
        <v>12</v>
      </c>
      <c r="J103" s="24">
        <f>I103*Sommaire!$C$6</f>
        <v>1488</v>
      </c>
      <c r="K103" s="24">
        <f>G103+J103</f>
        <v>1488</v>
      </c>
      <c r="L103" s="21" t="s">
        <v>100</v>
      </c>
    </row>
    <row r="104" spans="1:12" x14ac:dyDescent="0.4">
      <c r="A104" s="20" t="s">
        <v>298</v>
      </c>
      <c r="B104" s="21" t="s">
        <v>299</v>
      </c>
      <c r="C104" s="20"/>
      <c r="D104" s="22">
        <v>1</v>
      </c>
      <c r="E104" s="20" t="s">
        <v>84</v>
      </c>
      <c r="F104" s="23"/>
      <c r="G104" s="24">
        <f>D104*F104</f>
        <v>0</v>
      </c>
      <c r="H104" s="25">
        <v>8</v>
      </c>
      <c r="I104" s="26">
        <f>D104*H104</f>
        <v>8</v>
      </c>
      <c r="J104" s="24">
        <f>I104*Sommaire!$C$6</f>
        <v>992</v>
      </c>
      <c r="K104" s="24">
        <f>G104+J104</f>
        <v>992</v>
      </c>
      <c r="L104" s="21" t="s">
        <v>100</v>
      </c>
    </row>
    <row r="105" spans="1:12" x14ac:dyDescent="0.4">
      <c r="A105" s="27"/>
      <c r="B105" s="28" t="s">
        <v>300</v>
      </c>
      <c r="C105" s="27"/>
      <c r="D105" s="27"/>
      <c r="E105" s="27"/>
      <c r="F105" s="27"/>
      <c r="G105" s="29">
        <f>SUM(G101:G104)</f>
        <v>0</v>
      </c>
      <c r="H105" s="27"/>
      <c r="I105" s="30">
        <f>SUM(I101:I104)</f>
        <v>56</v>
      </c>
      <c r="J105" s="29">
        <f>SUM(J101:J104)</f>
        <v>6944</v>
      </c>
      <c r="K105" s="29">
        <f>SUM(K101:K104)</f>
        <v>6944</v>
      </c>
      <c r="L105" s="27"/>
    </row>
    <row r="107" spans="1:12" x14ac:dyDescent="0.4">
      <c r="A107" s="31" t="s">
        <v>301</v>
      </c>
      <c r="B107" s="31" t="s">
        <v>302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</row>
    <row r="108" spans="1:12" ht="24.9" x14ac:dyDescent="0.4">
      <c r="A108" s="20" t="s">
        <v>303</v>
      </c>
      <c r="B108" s="21" t="s">
        <v>304</v>
      </c>
      <c r="C108" s="20" t="s">
        <v>305</v>
      </c>
      <c r="D108" s="20"/>
      <c r="E108" s="20"/>
      <c r="F108" s="20"/>
      <c r="G108" s="20"/>
      <c r="H108" s="20"/>
      <c r="I108" s="20"/>
      <c r="J108" s="20"/>
      <c r="K108" s="20"/>
      <c r="L108" s="21" t="s">
        <v>306</v>
      </c>
    </row>
    <row r="109" spans="1:12" x14ac:dyDescent="0.4">
      <c r="A109" s="20" t="s">
        <v>307</v>
      </c>
      <c r="B109" s="21" t="s">
        <v>308</v>
      </c>
      <c r="C109" s="20" t="s">
        <v>309</v>
      </c>
      <c r="D109" s="20">
        <v>1</v>
      </c>
      <c r="E109" s="20" t="s">
        <v>84</v>
      </c>
      <c r="F109" s="20"/>
      <c r="G109" s="20"/>
      <c r="H109" s="20"/>
      <c r="I109" s="20"/>
      <c r="J109" s="20"/>
      <c r="K109" s="20"/>
      <c r="L109" s="21" t="s">
        <v>310</v>
      </c>
    </row>
    <row r="110" spans="1:12" x14ac:dyDescent="0.4">
      <c r="A110" s="20" t="s">
        <v>311</v>
      </c>
      <c r="B110" s="21" t="s">
        <v>312</v>
      </c>
      <c r="C110" s="20" t="s">
        <v>313</v>
      </c>
      <c r="D110" s="20"/>
      <c r="E110" s="20" t="s">
        <v>314</v>
      </c>
      <c r="F110" s="20"/>
      <c r="G110" s="20"/>
      <c r="H110" s="20"/>
      <c r="I110" s="20"/>
      <c r="J110" s="20"/>
      <c r="K110" s="20"/>
      <c r="L110" s="21" t="s">
        <v>315</v>
      </c>
    </row>
    <row r="111" spans="1:12" ht="24.9" x14ac:dyDescent="0.4">
      <c r="A111" s="20" t="s">
        <v>316</v>
      </c>
      <c r="B111" s="21" t="s">
        <v>317</v>
      </c>
      <c r="C111" s="20" t="s">
        <v>318</v>
      </c>
      <c r="D111" s="20"/>
      <c r="E111" s="20"/>
      <c r="F111" s="20"/>
      <c r="G111" s="20"/>
      <c r="H111" s="20"/>
      <c r="I111" s="20"/>
      <c r="J111" s="20"/>
      <c r="K111" s="20"/>
      <c r="L111" s="21" t="s">
        <v>319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9140625" defaultRowHeight="14.6" x14ac:dyDescent="0.4"/>
  <cols>
    <col min="1" max="1" width="22" customWidth="1"/>
    <col min="2" max="2" width="60" customWidth="1"/>
    <col min="3" max="3" width="9" customWidth="1"/>
    <col min="4" max="4" width="7" customWidth="1"/>
    <col min="5" max="5" width="13" customWidth="1"/>
    <col min="6" max="6" width="15" customWidth="1"/>
    <col min="7" max="7" width="52" customWidth="1"/>
  </cols>
  <sheetData>
    <row r="1" spans="1:7" ht="17.600000000000001" x14ac:dyDescent="0.4">
      <c r="A1" s="2" t="s">
        <v>320</v>
      </c>
    </row>
    <row r="2" spans="1:7" x14ac:dyDescent="0.4">
      <c r="A2" s="33" t="s">
        <v>321</v>
      </c>
    </row>
    <row r="3" spans="1:7" x14ac:dyDescent="0.4">
      <c r="A3" s="34" t="s">
        <v>322</v>
      </c>
    </row>
    <row r="5" spans="1:7" x14ac:dyDescent="0.4">
      <c r="A5" s="9" t="s">
        <v>323</v>
      </c>
      <c r="B5" s="9" t="s">
        <v>10</v>
      </c>
      <c r="C5" s="9" t="s">
        <v>48</v>
      </c>
      <c r="D5" s="9" t="s">
        <v>49</v>
      </c>
      <c r="E5" s="9" t="s">
        <v>324</v>
      </c>
      <c r="F5" s="9" t="s">
        <v>14</v>
      </c>
      <c r="G5" s="9" t="s">
        <v>325</v>
      </c>
    </row>
    <row r="6" spans="1:7" x14ac:dyDescent="0.4">
      <c r="A6" s="15" t="s">
        <v>326</v>
      </c>
      <c r="B6" s="19"/>
      <c r="C6" s="19"/>
      <c r="D6" s="19"/>
      <c r="E6" s="19"/>
      <c r="F6" s="19"/>
      <c r="G6" s="19"/>
    </row>
    <row r="7" spans="1:7" x14ac:dyDescent="0.4">
      <c r="A7" s="20" t="s">
        <v>327</v>
      </c>
      <c r="B7" s="21" t="s">
        <v>328</v>
      </c>
      <c r="C7" s="22">
        <v>2270</v>
      </c>
      <c r="D7" s="20" t="s">
        <v>329</v>
      </c>
      <c r="E7" s="35">
        <v>1.8378000000000001</v>
      </c>
      <c r="F7" s="24">
        <f t="shared" ref="F7:F19" si="0">C7*E7</f>
        <v>4171.8060000000005</v>
      </c>
      <c r="G7" s="21" t="s">
        <v>330</v>
      </c>
    </row>
    <row r="8" spans="1:7" x14ac:dyDescent="0.4">
      <c r="A8" s="20" t="s">
        <v>331</v>
      </c>
      <c r="B8" s="21" t="s">
        <v>332</v>
      </c>
      <c r="C8" s="22">
        <v>2940</v>
      </c>
      <c r="D8" s="20" t="s">
        <v>329</v>
      </c>
      <c r="E8" s="35">
        <v>1.0494000000000001</v>
      </c>
      <c r="F8" s="24">
        <f t="shared" si="0"/>
        <v>3085.2360000000003</v>
      </c>
      <c r="G8" s="21" t="s">
        <v>333</v>
      </c>
    </row>
    <row r="9" spans="1:7" x14ac:dyDescent="0.4">
      <c r="A9" s="20" t="s">
        <v>334</v>
      </c>
      <c r="B9" s="21" t="s">
        <v>335</v>
      </c>
      <c r="C9" s="22">
        <v>227</v>
      </c>
      <c r="D9" s="20" t="s">
        <v>336</v>
      </c>
      <c r="E9" s="35">
        <v>1.3118000000000001</v>
      </c>
      <c r="F9" s="24">
        <f t="shared" si="0"/>
        <v>297.77860000000004</v>
      </c>
      <c r="G9" s="21" t="s">
        <v>337</v>
      </c>
    </row>
    <row r="10" spans="1:7" x14ac:dyDescent="0.4">
      <c r="A10" s="20" t="s">
        <v>338</v>
      </c>
      <c r="B10" s="21" t="s">
        <v>339</v>
      </c>
      <c r="C10" s="22">
        <v>294</v>
      </c>
      <c r="D10" s="20" t="s">
        <v>336</v>
      </c>
      <c r="E10" s="35">
        <v>0.80469999999999997</v>
      </c>
      <c r="F10" s="24">
        <f t="shared" si="0"/>
        <v>236.58179999999999</v>
      </c>
      <c r="G10" s="21" t="s">
        <v>337</v>
      </c>
    </row>
    <row r="11" spans="1:7" x14ac:dyDescent="0.4">
      <c r="A11" s="20" t="s">
        <v>340</v>
      </c>
      <c r="B11" s="21" t="s">
        <v>341</v>
      </c>
      <c r="C11" s="22">
        <v>96</v>
      </c>
      <c r="D11" s="20" t="s">
        <v>336</v>
      </c>
      <c r="E11" s="35">
        <v>1.4343999999999999</v>
      </c>
      <c r="F11" s="24">
        <f t="shared" si="0"/>
        <v>137.70239999999998</v>
      </c>
      <c r="G11" s="21" t="s">
        <v>342</v>
      </c>
    </row>
    <row r="12" spans="1:7" x14ac:dyDescent="0.4">
      <c r="A12" s="20" t="s">
        <v>343</v>
      </c>
      <c r="B12" s="21" t="s">
        <v>344</v>
      </c>
      <c r="C12" s="22">
        <v>280</v>
      </c>
      <c r="D12" s="20" t="s">
        <v>336</v>
      </c>
      <c r="E12" s="35">
        <v>0.90969999999999995</v>
      </c>
      <c r="F12" s="24">
        <f t="shared" si="0"/>
        <v>254.71599999999998</v>
      </c>
      <c r="G12" s="21" t="s">
        <v>345</v>
      </c>
    </row>
    <row r="13" spans="1:7" x14ac:dyDescent="0.4">
      <c r="A13" s="20" t="s">
        <v>346</v>
      </c>
      <c r="B13" s="21" t="s">
        <v>347</v>
      </c>
      <c r="C13" s="22">
        <v>460</v>
      </c>
      <c r="D13" s="20" t="s">
        <v>336</v>
      </c>
      <c r="E13" s="35">
        <v>0.58130000000000004</v>
      </c>
      <c r="F13" s="24">
        <f t="shared" si="0"/>
        <v>267.39800000000002</v>
      </c>
      <c r="G13" s="21" t="s">
        <v>348</v>
      </c>
    </row>
    <row r="14" spans="1:7" x14ac:dyDescent="0.4">
      <c r="A14" s="20" t="s">
        <v>349</v>
      </c>
      <c r="B14" s="21" t="s">
        <v>350</v>
      </c>
      <c r="C14" s="22">
        <v>600</v>
      </c>
      <c r="D14" s="20" t="s">
        <v>336</v>
      </c>
      <c r="E14" s="35">
        <v>0.2732</v>
      </c>
      <c r="F14" s="24">
        <f t="shared" si="0"/>
        <v>163.92</v>
      </c>
      <c r="G14" s="21" t="s">
        <v>351</v>
      </c>
    </row>
    <row r="15" spans="1:7" x14ac:dyDescent="0.4">
      <c r="A15" s="20" t="s">
        <v>352</v>
      </c>
      <c r="B15" s="21" t="s">
        <v>353</v>
      </c>
      <c r="C15" s="22">
        <v>14</v>
      </c>
      <c r="D15" s="20" t="s">
        <v>145</v>
      </c>
      <c r="E15" s="35">
        <v>12.4001</v>
      </c>
      <c r="F15" s="24">
        <f t="shared" si="0"/>
        <v>173.60140000000001</v>
      </c>
      <c r="G15" s="21" t="s">
        <v>354</v>
      </c>
    </row>
    <row r="16" spans="1:7" x14ac:dyDescent="0.4">
      <c r="A16" s="20" t="s">
        <v>355</v>
      </c>
      <c r="B16" s="21" t="s">
        <v>356</v>
      </c>
      <c r="C16" s="22">
        <v>20</v>
      </c>
      <c r="D16" s="20" t="s">
        <v>336</v>
      </c>
      <c r="E16" s="35">
        <v>15.1394</v>
      </c>
      <c r="F16" s="24">
        <f t="shared" si="0"/>
        <v>302.78800000000001</v>
      </c>
      <c r="G16" s="21"/>
    </row>
    <row r="17" spans="1:7" x14ac:dyDescent="0.4">
      <c r="A17" s="20" t="s">
        <v>357</v>
      </c>
      <c r="B17" s="21" t="s">
        <v>358</v>
      </c>
      <c r="C17" s="22">
        <v>63</v>
      </c>
      <c r="D17" s="20" t="s">
        <v>145</v>
      </c>
      <c r="E17" s="35">
        <v>7.7140000000000004</v>
      </c>
      <c r="F17" s="24">
        <f t="shared" si="0"/>
        <v>485.98200000000003</v>
      </c>
      <c r="G17" s="21" t="s">
        <v>359</v>
      </c>
    </row>
    <row r="18" spans="1:7" x14ac:dyDescent="0.4">
      <c r="A18" s="20" t="s">
        <v>360</v>
      </c>
      <c r="B18" s="21" t="s">
        <v>361</v>
      </c>
      <c r="C18" s="22">
        <v>70</v>
      </c>
      <c r="D18" s="20" t="s">
        <v>336</v>
      </c>
      <c r="E18" s="35">
        <v>1.7989999999999999</v>
      </c>
      <c r="F18" s="24">
        <f t="shared" si="0"/>
        <v>125.92999999999999</v>
      </c>
      <c r="G18" s="21"/>
    </row>
    <row r="19" spans="1:7" x14ac:dyDescent="0.4">
      <c r="A19" s="20" t="s">
        <v>362</v>
      </c>
      <c r="B19" s="21" t="s">
        <v>363</v>
      </c>
      <c r="C19" s="22">
        <v>1</v>
      </c>
      <c r="D19" s="20" t="s">
        <v>336</v>
      </c>
      <c r="E19" s="35">
        <v>81.680000000000007</v>
      </c>
      <c r="F19" s="24">
        <f t="shared" si="0"/>
        <v>81.680000000000007</v>
      </c>
      <c r="G19" s="21" t="s">
        <v>364</v>
      </c>
    </row>
    <row r="20" spans="1:7" x14ac:dyDescent="0.4">
      <c r="A20" s="15" t="s">
        <v>365</v>
      </c>
      <c r="B20" s="19"/>
      <c r="C20" s="19"/>
      <c r="D20" s="19"/>
      <c r="E20" s="19"/>
      <c r="F20" s="19"/>
      <c r="G20" s="19"/>
    </row>
    <row r="21" spans="1:7" x14ac:dyDescent="0.4">
      <c r="A21" s="20" t="s">
        <v>366</v>
      </c>
      <c r="B21" s="21" t="s">
        <v>367</v>
      </c>
      <c r="C21" s="22">
        <v>66</v>
      </c>
      <c r="D21" s="20" t="s">
        <v>336</v>
      </c>
      <c r="E21" s="35">
        <v>5.2195999999999998</v>
      </c>
      <c r="F21" s="24">
        <f>C21*E21</f>
        <v>344.49360000000001</v>
      </c>
      <c r="G21" s="21" t="s">
        <v>368</v>
      </c>
    </row>
    <row r="22" spans="1:7" x14ac:dyDescent="0.4">
      <c r="A22" s="20" t="s">
        <v>369</v>
      </c>
      <c r="B22" s="21" t="s">
        <v>370</v>
      </c>
      <c r="C22" s="22">
        <v>66</v>
      </c>
      <c r="D22" s="20" t="s">
        <v>336</v>
      </c>
      <c r="E22" s="35">
        <v>4.0872999999999999</v>
      </c>
      <c r="F22" s="24">
        <f>C22*E22</f>
        <v>269.76179999999999</v>
      </c>
      <c r="G22" s="21"/>
    </row>
    <row r="23" spans="1:7" x14ac:dyDescent="0.4">
      <c r="A23" s="20" t="s">
        <v>371</v>
      </c>
      <c r="B23" s="21" t="s">
        <v>372</v>
      </c>
      <c r="C23" s="22">
        <v>46</v>
      </c>
      <c r="D23" s="20" t="s">
        <v>336</v>
      </c>
      <c r="E23" s="35">
        <v>6.0542999999999996</v>
      </c>
      <c r="F23" s="24">
        <f>C23*E23</f>
        <v>278.49779999999998</v>
      </c>
      <c r="G23" s="21" t="s">
        <v>373</v>
      </c>
    </row>
    <row r="24" spans="1:7" x14ac:dyDescent="0.4">
      <c r="A24" s="20" t="s">
        <v>374</v>
      </c>
      <c r="B24" s="21" t="s">
        <v>375</v>
      </c>
      <c r="C24" s="22">
        <v>46</v>
      </c>
      <c r="D24" s="20" t="s">
        <v>336</v>
      </c>
      <c r="E24" s="35">
        <v>3.2082000000000002</v>
      </c>
      <c r="F24" s="24">
        <f>C24*E24</f>
        <v>147.5772</v>
      </c>
      <c r="G24" s="21"/>
    </row>
    <row r="25" spans="1:7" x14ac:dyDescent="0.4">
      <c r="A25" s="20" t="s">
        <v>376</v>
      </c>
      <c r="B25" s="21" t="s">
        <v>377</v>
      </c>
      <c r="C25" s="22">
        <v>35</v>
      </c>
      <c r="D25" s="20" t="s">
        <v>336</v>
      </c>
      <c r="E25" s="35">
        <v>2.5047999999999999</v>
      </c>
      <c r="F25" s="24">
        <f>C25*E25</f>
        <v>87.667999999999992</v>
      </c>
      <c r="G25" s="21" t="s">
        <v>378</v>
      </c>
    </row>
    <row r="26" spans="1:7" x14ac:dyDescent="0.4">
      <c r="A26" s="15" t="s">
        <v>379</v>
      </c>
      <c r="B26" s="19"/>
      <c r="C26" s="19"/>
      <c r="D26" s="19"/>
      <c r="E26" s="19"/>
      <c r="F26" s="19"/>
      <c r="G26" s="19"/>
    </row>
    <row r="27" spans="1:7" ht="24.9" x14ac:dyDescent="0.4">
      <c r="A27" s="20" t="s">
        <v>380</v>
      </c>
      <c r="B27" s="21" t="s">
        <v>381</v>
      </c>
      <c r="C27" s="22">
        <v>1500</v>
      </c>
      <c r="D27" s="20" t="s">
        <v>145</v>
      </c>
      <c r="E27" s="35">
        <v>1.3357000000000001</v>
      </c>
      <c r="F27" s="24">
        <f t="shared" ref="F27:F35" si="1">C27*E27</f>
        <v>2003.5500000000002</v>
      </c>
      <c r="G27" s="21" t="s">
        <v>382</v>
      </c>
    </row>
    <row r="28" spans="1:7" x14ac:dyDescent="0.4">
      <c r="A28" s="20" t="s">
        <v>383</v>
      </c>
      <c r="B28" s="21" t="s">
        <v>384</v>
      </c>
      <c r="C28" s="22">
        <v>1200</v>
      </c>
      <c r="D28" s="20" t="s">
        <v>145</v>
      </c>
      <c r="E28" s="35">
        <v>1.3357000000000001</v>
      </c>
      <c r="F28" s="24">
        <f t="shared" si="1"/>
        <v>1602.8400000000001</v>
      </c>
      <c r="G28" s="21"/>
    </row>
    <row r="29" spans="1:7" x14ac:dyDescent="0.4">
      <c r="A29" s="20" t="s">
        <v>385</v>
      </c>
      <c r="B29" s="21" t="s">
        <v>386</v>
      </c>
      <c r="C29" s="22">
        <v>900</v>
      </c>
      <c r="D29" s="20" t="s">
        <v>145</v>
      </c>
      <c r="E29" s="35">
        <v>1.3357000000000001</v>
      </c>
      <c r="F29" s="24">
        <f t="shared" si="1"/>
        <v>1202.1300000000001</v>
      </c>
      <c r="G29" s="21"/>
    </row>
    <row r="30" spans="1:7" x14ac:dyDescent="0.4">
      <c r="A30" s="20" t="s">
        <v>387</v>
      </c>
      <c r="B30" s="21" t="s">
        <v>388</v>
      </c>
      <c r="C30" s="22">
        <v>790</v>
      </c>
      <c r="D30" s="20" t="s">
        <v>145</v>
      </c>
      <c r="E30" s="35">
        <v>1.3357000000000001</v>
      </c>
      <c r="F30" s="24">
        <f t="shared" si="1"/>
        <v>1055.203</v>
      </c>
      <c r="G30" s="21" t="s">
        <v>389</v>
      </c>
    </row>
    <row r="31" spans="1:7" x14ac:dyDescent="0.4">
      <c r="A31" s="20" t="s">
        <v>390</v>
      </c>
      <c r="B31" s="21" t="s">
        <v>391</v>
      </c>
      <c r="C31" s="22">
        <v>105</v>
      </c>
      <c r="D31" s="20" t="s">
        <v>145</v>
      </c>
      <c r="E31" s="35">
        <v>4.5914000000000001</v>
      </c>
      <c r="F31" s="24">
        <f t="shared" si="1"/>
        <v>482.09700000000004</v>
      </c>
      <c r="G31" s="21" t="s">
        <v>392</v>
      </c>
    </row>
    <row r="32" spans="1:7" x14ac:dyDescent="0.4">
      <c r="A32" s="20" t="s">
        <v>393</v>
      </c>
      <c r="B32" s="21" t="s">
        <v>394</v>
      </c>
      <c r="C32" s="22">
        <v>35</v>
      </c>
      <c r="D32" s="20" t="s">
        <v>145</v>
      </c>
      <c r="E32" s="35">
        <v>4.5914000000000001</v>
      </c>
      <c r="F32" s="24">
        <f t="shared" si="1"/>
        <v>160.69900000000001</v>
      </c>
      <c r="G32" s="21"/>
    </row>
    <row r="33" spans="1:7" x14ac:dyDescent="0.4">
      <c r="A33" s="20" t="s">
        <v>395</v>
      </c>
      <c r="B33" s="21" t="s">
        <v>396</v>
      </c>
      <c r="C33" s="22">
        <v>10</v>
      </c>
      <c r="D33" s="20" t="s">
        <v>145</v>
      </c>
      <c r="E33" s="35">
        <v>9.1875</v>
      </c>
      <c r="F33" s="24">
        <f t="shared" si="1"/>
        <v>91.875</v>
      </c>
      <c r="G33" s="21"/>
    </row>
    <row r="34" spans="1:7" x14ac:dyDescent="0.4">
      <c r="A34" s="20" t="s">
        <v>397</v>
      </c>
      <c r="B34" s="21" t="s">
        <v>398</v>
      </c>
      <c r="C34" s="22">
        <v>4</v>
      </c>
      <c r="D34" s="20" t="s">
        <v>336</v>
      </c>
      <c r="E34" s="35">
        <v>42.224699999999999</v>
      </c>
      <c r="F34" s="24">
        <f t="shared" si="1"/>
        <v>168.89879999999999</v>
      </c>
      <c r="G34" s="21" t="s">
        <v>399</v>
      </c>
    </row>
    <row r="35" spans="1:7" x14ac:dyDescent="0.4">
      <c r="A35" s="20" t="s">
        <v>400</v>
      </c>
      <c r="B35" s="21" t="s">
        <v>401</v>
      </c>
      <c r="C35" s="22">
        <v>60</v>
      </c>
      <c r="D35" s="20" t="s">
        <v>145</v>
      </c>
      <c r="E35" s="35">
        <v>1.3440000000000001</v>
      </c>
      <c r="F35" s="24">
        <f t="shared" si="1"/>
        <v>80.64</v>
      </c>
      <c r="G35" s="21" t="s">
        <v>272</v>
      </c>
    </row>
    <row r="36" spans="1:7" x14ac:dyDescent="0.4">
      <c r="A36" s="15" t="s">
        <v>402</v>
      </c>
      <c r="B36" s="19"/>
      <c r="C36" s="19"/>
      <c r="D36" s="19"/>
      <c r="E36" s="19"/>
      <c r="F36" s="19"/>
      <c r="G36" s="19"/>
    </row>
    <row r="37" spans="1:7" x14ac:dyDescent="0.4">
      <c r="A37" s="20" t="s">
        <v>403</v>
      </c>
      <c r="B37" s="21" t="s">
        <v>404</v>
      </c>
      <c r="C37" s="22">
        <v>47</v>
      </c>
      <c r="D37" s="20" t="s">
        <v>336</v>
      </c>
      <c r="E37" s="35">
        <v>8.32</v>
      </c>
      <c r="F37" s="24">
        <f t="shared" ref="F37:F43" si="2">C37*E37</f>
        <v>391.04</v>
      </c>
      <c r="G37" s="21" t="s">
        <v>405</v>
      </c>
    </row>
    <row r="38" spans="1:7" x14ac:dyDescent="0.4">
      <c r="A38" s="20" t="s">
        <v>406</v>
      </c>
      <c r="B38" s="21" t="s">
        <v>407</v>
      </c>
      <c r="C38" s="22">
        <v>20</v>
      </c>
      <c r="D38" s="20" t="s">
        <v>336</v>
      </c>
      <c r="E38" s="35">
        <v>8.82</v>
      </c>
      <c r="F38" s="24">
        <f t="shared" si="2"/>
        <v>176.4</v>
      </c>
      <c r="G38" s="21" t="s">
        <v>408</v>
      </c>
    </row>
    <row r="39" spans="1:7" x14ac:dyDescent="0.4">
      <c r="A39" s="20" t="s">
        <v>409</v>
      </c>
      <c r="B39" s="21" t="s">
        <v>410</v>
      </c>
      <c r="C39" s="22">
        <v>10</v>
      </c>
      <c r="D39" s="20" t="s">
        <v>336</v>
      </c>
      <c r="E39" s="35">
        <v>48.66</v>
      </c>
      <c r="F39" s="24">
        <f t="shared" si="2"/>
        <v>486.59999999999997</v>
      </c>
      <c r="G39" s="21" t="s">
        <v>411</v>
      </c>
    </row>
    <row r="40" spans="1:7" x14ac:dyDescent="0.4">
      <c r="A40" s="20" t="s">
        <v>412</v>
      </c>
      <c r="B40" s="21" t="s">
        <v>413</v>
      </c>
      <c r="C40" s="22">
        <v>1</v>
      </c>
      <c r="D40" s="20" t="s">
        <v>336</v>
      </c>
      <c r="E40" s="35">
        <v>19.95</v>
      </c>
      <c r="F40" s="24">
        <f t="shared" si="2"/>
        <v>19.95</v>
      </c>
      <c r="G40" s="21" t="s">
        <v>414</v>
      </c>
    </row>
    <row r="41" spans="1:7" x14ac:dyDescent="0.4">
      <c r="A41" s="20" t="s">
        <v>415</v>
      </c>
      <c r="B41" s="21" t="s">
        <v>416</v>
      </c>
      <c r="C41" s="22">
        <v>66</v>
      </c>
      <c r="D41" s="20" t="s">
        <v>336</v>
      </c>
      <c r="E41" s="35">
        <v>1.18</v>
      </c>
      <c r="F41" s="24">
        <f t="shared" si="2"/>
        <v>77.88</v>
      </c>
      <c r="G41" s="21"/>
    </row>
    <row r="42" spans="1:7" x14ac:dyDescent="0.4">
      <c r="A42" s="20" t="s">
        <v>417</v>
      </c>
      <c r="B42" s="21" t="s">
        <v>418</v>
      </c>
      <c r="C42" s="22">
        <v>2</v>
      </c>
      <c r="D42" s="20" t="s">
        <v>336</v>
      </c>
      <c r="E42" s="35">
        <v>1461.22</v>
      </c>
      <c r="F42" s="24">
        <f t="shared" si="2"/>
        <v>2922.44</v>
      </c>
      <c r="G42" s="21" t="s">
        <v>419</v>
      </c>
    </row>
    <row r="43" spans="1:7" x14ac:dyDescent="0.4">
      <c r="A43" s="20" t="s">
        <v>420</v>
      </c>
      <c r="B43" s="21" t="s">
        <v>421</v>
      </c>
      <c r="C43" s="22">
        <v>3</v>
      </c>
      <c r="D43" s="20" t="s">
        <v>336</v>
      </c>
      <c r="E43" s="35">
        <v>117.84</v>
      </c>
      <c r="F43" s="24">
        <f t="shared" si="2"/>
        <v>353.52</v>
      </c>
      <c r="G43" s="21" t="s">
        <v>422</v>
      </c>
    </row>
    <row r="44" spans="1:7" x14ac:dyDescent="0.4">
      <c r="A44" s="15" t="s">
        <v>423</v>
      </c>
      <c r="B44" s="19"/>
      <c r="C44" s="19"/>
      <c r="D44" s="19"/>
      <c r="E44" s="19"/>
      <c r="F44" s="19"/>
      <c r="G44" s="19"/>
    </row>
    <row r="45" spans="1:7" x14ac:dyDescent="0.4">
      <c r="A45" s="20" t="s">
        <v>424</v>
      </c>
      <c r="B45" s="21" t="s">
        <v>425</v>
      </c>
      <c r="C45" s="22">
        <v>25</v>
      </c>
      <c r="D45" s="20" t="s">
        <v>336</v>
      </c>
      <c r="E45" s="35">
        <v>26.22</v>
      </c>
      <c r="F45" s="24">
        <f>C45*E45</f>
        <v>655.5</v>
      </c>
      <c r="G45" s="21" t="s">
        <v>426</v>
      </c>
    </row>
    <row r="46" spans="1:7" x14ac:dyDescent="0.4">
      <c r="A46" s="20" t="s">
        <v>427</v>
      </c>
      <c r="B46" s="21" t="s">
        <v>428</v>
      </c>
      <c r="C46" s="22">
        <v>200</v>
      </c>
      <c r="D46" s="20" t="s">
        <v>329</v>
      </c>
      <c r="E46" s="35">
        <v>0.64349999999999996</v>
      </c>
      <c r="F46" s="24">
        <f>C46*E46</f>
        <v>128.69999999999999</v>
      </c>
      <c r="G46" s="21" t="s">
        <v>429</v>
      </c>
    </row>
    <row r="47" spans="1:7" x14ac:dyDescent="0.4">
      <c r="A47" s="20" t="s">
        <v>430</v>
      </c>
      <c r="B47" s="21" t="s">
        <v>431</v>
      </c>
      <c r="C47" s="22">
        <v>2</v>
      </c>
      <c r="D47" s="20" t="s">
        <v>432</v>
      </c>
      <c r="E47" s="35">
        <v>32.26</v>
      </c>
      <c r="F47" s="24">
        <f>C47*E47</f>
        <v>64.52</v>
      </c>
      <c r="G47" s="21"/>
    </row>
    <row r="48" spans="1:7" x14ac:dyDescent="0.4">
      <c r="A48" s="20" t="s">
        <v>433</v>
      </c>
      <c r="B48" s="21" t="s">
        <v>434</v>
      </c>
      <c r="C48" s="22">
        <v>3</v>
      </c>
      <c r="D48" s="20" t="s">
        <v>432</v>
      </c>
      <c r="E48" s="35">
        <v>40.69</v>
      </c>
      <c r="F48" s="24">
        <f>C48*E48</f>
        <v>122.07</v>
      </c>
      <c r="G48" s="21"/>
    </row>
    <row r="49" spans="5:6" x14ac:dyDescent="0.4">
      <c r="E49" s="3" t="s">
        <v>435</v>
      </c>
      <c r="F49" s="36">
        <f>SUM(F6:F48)</f>
        <v>23159.671400000007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Sommaire</vt:lpstr>
      <vt:lpstr>Détail</vt:lpstr>
      <vt:lpstr>Matériel Lumen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Jonathan Parent</cp:lastModifiedBy>
  <cp:revision>0</cp:revision>
  <dcterms:created xsi:type="dcterms:W3CDTF">2026-10-07T23:57:58Z</dcterms:created>
  <dcterms:modified xsi:type="dcterms:W3CDTF">2026-10-08T00:12:32Z</dcterms:modified>
  <dc:language>en-US</dc:language>
</cp:coreProperties>
</file>